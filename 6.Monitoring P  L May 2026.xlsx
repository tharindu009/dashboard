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bathCh\Desktop\New folder (3)\"/>
    </mc:Choice>
  </mc:AlternateContent>
  <xr:revisionPtr revIDLastSave="0" documentId="13_ncr:1_{DFDEF12F-3CDD-44E6-81E6-B8A3C2F6B4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3" sheetId="3" r:id="rId1"/>
  </sheets>
  <definedNames>
    <definedName name="_xlnm.Print_Area" localSheetId="0">Sheet3!$A$2:$AF$69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1" i="3" l="1"/>
  <c r="Z51" i="3"/>
  <c r="X51" i="3"/>
  <c r="W51" i="3"/>
  <c r="Z49" i="3"/>
  <c r="X49" i="3"/>
  <c r="W49" i="3"/>
  <c r="AB47" i="3"/>
  <c r="Z47" i="3"/>
  <c r="X47" i="3"/>
  <c r="W47" i="3"/>
  <c r="X45" i="3"/>
  <c r="X43" i="3"/>
  <c r="X42" i="3"/>
  <c r="W45" i="3"/>
  <c r="W43" i="3"/>
  <c r="W42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Z28" i="3"/>
  <c r="Z29" i="3"/>
  <c r="Z30" i="3"/>
  <c r="Z31" i="3"/>
  <c r="Z32" i="3"/>
  <c r="Z33" i="3"/>
  <c r="Z34" i="3"/>
  <c r="Z35" i="3"/>
  <c r="Z36" i="3"/>
  <c r="Z37" i="3"/>
  <c r="Z38" i="3"/>
  <c r="Z39" i="3"/>
  <c r="X28" i="3"/>
  <c r="X29" i="3"/>
  <c r="X30" i="3"/>
  <c r="X31" i="3"/>
  <c r="X32" i="3"/>
  <c r="X33" i="3"/>
  <c r="X34" i="3"/>
  <c r="X35" i="3"/>
  <c r="X36" i="3"/>
  <c r="X37" i="3"/>
  <c r="X38" i="3"/>
  <c r="X39" i="3"/>
  <c r="W29" i="3"/>
  <c r="W30" i="3"/>
  <c r="W31" i="3"/>
  <c r="W32" i="3"/>
  <c r="W33" i="3"/>
  <c r="W34" i="3"/>
  <c r="W35" i="3"/>
  <c r="W36" i="3"/>
  <c r="W37" i="3"/>
  <c r="W38" i="3"/>
  <c r="W39" i="3"/>
  <c r="W40" i="3"/>
  <c r="AC26" i="3"/>
  <c r="AD26" i="3"/>
  <c r="AE26" i="3"/>
  <c r="AF26" i="3"/>
  <c r="AB16" i="3"/>
  <c r="AB17" i="3"/>
  <c r="AB18" i="3"/>
  <c r="AB19" i="3"/>
  <c r="AB20" i="3"/>
  <c r="AB21" i="3"/>
  <c r="AB22" i="3"/>
  <c r="AB23" i="3"/>
  <c r="AB24" i="3"/>
  <c r="AB25" i="3"/>
  <c r="AF25" i="3" s="1"/>
  <c r="Z16" i="3"/>
  <c r="Z17" i="3"/>
  <c r="Z18" i="3"/>
  <c r="Z19" i="3"/>
  <c r="Z20" i="3"/>
  <c r="Z21" i="3"/>
  <c r="Z22" i="3"/>
  <c r="Z23" i="3"/>
  <c r="Z24" i="3"/>
  <c r="Z25" i="3"/>
  <c r="AD25" i="3" s="1"/>
  <c r="X16" i="3"/>
  <c r="X17" i="3"/>
  <c r="X18" i="3"/>
  <c r="X19" i="3"/>
  <c r="X20" i="3"/>
  <c r="X21" i="3"/>
  <c r="X22" i="3"/>
  <c r="X23" i="3"/>
  <c r="X24" i="3"/>
  <c r="X25" i="3"/>
  <c r="W16" i="3"/>
  <c r="W17" i="3"/>
  <c r="W18" i="3"/>
  <c r="W19" i="3"/>
  <c r="W20" i="3"/>
  <c r="W21" i="3"/>
  <c r="W22" i="3"/>
  <c r="W23" i="3"/>
  <c r="W24" i="3"/>
  <c r="W25" i="3"/>
  <c r="AC25" i="3" s="1"/>
  <c r="AB8" i="3"/>
  <c r="AB9" i="3"/>
  <c r="AB10" i="3"/>
  <c r="AB11" i="3"/>
  <c r="AB12" i="3"/>
  <c r="AB13" i="3"/>
  <c r="Z8" i="3"/>
  <c r="Z9" i="3"/>
  <c r="Z10" i="3"/>
  <c r="Z11" i="3"/>
  <c r="Z12" i="3"/>
  <c r="Z13" i="3"/>
  <c r="X8" i="3"/>
  <c r="X9" i="3"/>
  <c r="X10" i="3"/>
  <c r="X11" i="3"/>
  <c r="X12" i="3"/>
  <c r="X13" i="3"/>
  <c r="W8" i="3"/>
  <c r="W9" i="3"/>
  <c r="W10" i="3"/>
  <c r="W11" i="3"/>
  <c r="W12" i="3"/>
  <c r="W13" i="3"/>
  <c r="AE25" i="3" l="1"/>
  <c r="AF68" i="3"/>
  <c r="AE68" i="3"/>
  <c r="AD68" i="3"/>
  <c r="AC68" i="3"/>
  <c r="AB48" i="3" l="1"/>
  <c r="Z48" i="3"/>
  <c r="Z1" i="3" l="1"/>
  <c r="AB1" i="3"/>
  <c r="AB45" i="3" l="1"/>
  <c r="Z45" i="3"/>
  <c r="AB43" i="3"/>
  <c r="Z43" i="3"/>
  <c r="AB42" i="3"/>
  <c r="Z42" i="3"/>
  <c r="Z40" i="3" l="1"/>
  <c r="X40" i="3"/>
  <c r="AB15" i="3" l="1"/>
  <c r="Z15" i="3"/>
  <c r="X15" i="3"/>
  <c r="AB28" i="3" l="1"/>
  <c r="AB7" i="3" l="1"/>
  <c r="Z7" i="3"/>
  <c r="X7" i="3"/>
  <c r="O22" i="3" l="1"/>
  <c r="M22" i="3"/>
  <c r="K22" i="3"/>
  <c r="O16" i="3" l="1"/>
  <c r="M16" i="3"/>
  <c r="K16" i="3"/>
  <c r="O29" i="3" l="1"/>
  <c r="M29" i="3"/>
  <c r="K29" i="3"/>
  <c r="O10" i="3" l="1"/>
  <c r="M10" i="3"/>
  <c r="K10" i="3"/>
  <c r="O17" i="3" l="1"/>
  <c r="M17" i="3"/>
  <c r="K17" i="3"/>
  <c r="O36" i="3" l="1"/>
  <c r="M36" i="3"/>
  <c r="K36" i="3"/>
  <c r="O45" i="3" l="1"/>
  <c r="M45" i="3"/>
  <c r="K45" i="3"/>
  <c r="O43" i="3"/>
  <c r="M43" i="3"/>
  <c r="K43" i="3"/>
  <c r="O42" i="3"/>
  <c r="M42" i="3"/>
  <c r="K42" i="3"/>
  <c r="O37" i="3" l="1"/>
  <c r="M37" i="3"/>
  <c r="K37" i="3"/>
  <c r="O8" i="3" l="1"/>
  <c r="M8" i="3"/>
  <c r="K8" i="3"/>
  <c r="O18" i="3" l="1"/>
  <c r="M18" i="3"/>
  <c r="K18" i="3"/>
  <c r="P45" i="3" l="1"/>
  <c r="N45" i="3"/>
  <c r="L45" i="3"/>
  <c r="P43" i="3"/>
  <c r="N43" i="3"/>
  <c r="L43" i="3"/>
  <c r="P42" i="3"/>
  <c r="N42" i="3"/>
  <c r="L42" i="3"/>
  <c r="O7" i="3" l="1"/>
  <c r="M7" i="3"/>
  <c r="K7" i="3"/>
  <c r="O25" i="3" l="1"/>
  <c r="M25" i="3"/>
  <c r="O28" i="3" l="1"/>
  <c r="M28" i="3"/>
  <c r="K28" i="3"/>
  <c r="O15" i="3" l="1"/>
  <c r="M15" i="3"/>
  <c r="K15" i="3"/>
  <c r="P51" i="3" l="1"/>
  <c r="N51" i="3"/>
  <c r="L51" i="3"/>
  <c r="O51" i="3"/>
  <c r="M51" i="3"/>
  <c r="K51" i="3"/>
  <c r="P12" i="3" l="1"/>
  <c r="N12" i="3"/>
  <c r="L12" i="3"/>
  <c r="O12" i="3"/>
  <c r="M12" i="3"/>
  <c r="K12" i="3"/>
  <c r="P33" i="3" l="1"/>
  <c r="N33" i="3"/>
  <c r="L33" i="3"/>
  <c r="P40" i="3" l="1"/>
  <c r="N40" i="3"/>
  <c r="L40" i="3"/>
  <c r="O40" i="3"/>
  <c r="M40" i="3"/>
  <c r="K40" i="3"/>
  <c r="P29" i="3" l="1"/>
  <c r="N29" i="3"/>
  <c r="L29" i="3"/>
  <c r="P36" i="3" l="1"/>
  <c r="N36" i="3"/>
  <c r="L36" i="3"/>
  <c r="P34" i="3" l="1"/>
  <c r="N34" i="3"/>
  <c r="L34" i="3"/>
  <c r="O34" i="3"/>
  <c r="M34" i="3"/>
  <c r="K34" i="3"/>
  <c r="P37" i="3" l="1"/>
  <c r="N37" i="3"/>
  <c r="L37" i="3"/>
  <c r="O33" i="3" l="1"/>
  <c r="M33" i="3"/>
  <c r="K33" i="3"/>
  <c r="P24" i="3" l="1"/>
  <c r="N24" i="3"/>
  <c r="L24" i="3"/>
  <c r="P16" i="3" l="1"/>
  <c r="N16" i="3"/>
  <c r="L16" i="3"/>
  <c r="P18" i="3" l="1"/>
  <c r="N18" i="3"/>
  <c r="L18" i="3"/>
  <c r="P21" i="3" l="1"/>
  <c r="N21" i="3"/>
  <c r="L21" i="3"/>
  <c r="O21" i="3"/>
  <c r="M21" i="3"/>
  <c r="K21" i="3"/>
  <c r="P22" i="3" l="1"/>
  <c r="N22" i="3"/>
  <c r="L22" i="3"/>
  <c r="P23" i="3" l="1"/>
  <c r="N23" i="3"/>
  <c r="L23" i="3"/>
  <c r="AF17" i="3" l="1"/>
  <c r="P17" i="3"/>
  <c r="N17" i="3"/>
  <c r="L17" i="3"/>
  <c r="O24" i="3" l="1"/>
  <c r="M24" i="3"/>
  <c r="K24" i="3"/>
  <c r="O23" i="3" l="1"/>
  <c r="M23" i="3"/>
  <c r="K23" i="3"/>
  <c r="P47" i="3" l="1"/>
  <c r="N47" i="3"/>
  <c r="L47" i="3"/>
  <c r="O47" i="3"/>
  <c r="M47" i="3"/>
  <c r="K47" i="3"/>
  <c r="P10" i="3" l="1"/>
  <c r="N10" i="3"/>
  <c r="L10" i="3"/>
  <c r="P9" i="3" l="1"/>
  <c r="N9" i="3"/>
  <c r="L9" i="3"/>
  <c r="O9" i="3"/>
  <c r="M9" i="3"/>
  <c r="K9" i="3"/>
  <c r="P11" i="3" l="1"/>
  <c r="N11" i="3"/>
  <c r="L11" i="3"/>
  <c r="O11" i="3"/>
  <c r="M11" i="3"/>
  <c r="K11" i="3"/>
  <c r="Q8" i="3" l="1"/>
  <c r="P8" i="3"/>
  <c r="N8" i="3"/>
  <c r="L8" i="3"/>
  <c r="P30" i="3" l="1"/>
  <c r="N30" i="3"/>
  <c r="L30" i="3"/>
  <c r="O30" i="3"/>
  <c r="M30" i="3"/>
  <c r="K30" i="3"/>
  <c r="P25" i="3" l="1"/>
  <c r="N25" i="3"/>
  <c r="P15" i="3"/>
  <c r="N15" i="3"/>
  <c r="L15" i="3"/>
  <c r="P28" i="3"/>
  <c r="N28" i="3"/>
  <c r="L28" i="3"/>
  <c r="P49" i="3" l="1"/>
  <c r="N49" i="3"/>
  <c r="L49" i="3"/>
  <c r="O49" i="3"/>
  <c r="M49" i="3"/>
  <c r="K49" i="3"/>
  <c r="P13" i="3" l="1"/>
  <c r="N13" i="3"/>
  <c r="L13" i="3"/>
  <c r="O13" i="3"/>
  <c r="M13" i="3"/>
  <c r="K13" i="3"/>
  <c r="P7" i="3" l="1"/>
  <c r="N7" i="3"/>
  <c r="L7" i="3"/>
  <c r="P46" i="3" l="1"/>
  <c r="O46" i="3"/>
  <c r="N46" i="3"/>
  <c r="M46" i="3"/>
  <c r="L46" i="3"/>
  <c r="K46" i="3"/>
  <c r="X46" i="3"/>
  <c r="Y46" i="3"/>
  <c r="AA46" i="3"/>
  <c r="Z46" i="3"/>
  <c r="AB46" i="3"/>
  <c r="AF44" i="3"/>
  <c r="AF45" i="3"/>
  <c r="AD44" i="3"/>
  <c r="AD45" i="3"/>
  <c r="Q46" i="3" l="1"/>
  <c r="T46" i="3"/>
  <c r="R46" i="3"/>
  <c r="S46" i="3"/>
  <c r="S13" i="3" l="1"/>
  <c r="Q13" i="3"/>
  <c r="T44" i="3" l="1"/>
  <c r="R44" i="3"/>
  <c r="S44" i="3"/>
  <c r="S45" i="3"/>
  <c r="Q44" i="3"/>
  <c r="Q45" i="3"/>
  <c r="R45" i="3" l="1"/>
  <c r="T45" i="3"/>
  <c r="W7" i="3" l="1"/>
  <c r="W50" i="3" l="1"/>
  <c r="AC50" i="3" s="1"/>
  <c r="W46" i="3"/>
  <c r="AC46" i="3" s="1"/>
  <c r="W28" i="3"/>
  <c r="W15" i="3"/>
  <c r="AA52" i="3" l="1"/>
  <c r="Y52" i="3"/>
  <c r="Z52" i="3"/>
  <c r="AE44" i="3"/>
  <c r="AE45" i="3"/>
  <c r="AD43" i="3"/>
  <c r="AC45" i="3"/>
  <c r="AC44" i="3"/>
  <c r="U46" i="3"/>
  <c r="AA14" i="3"/>
  <c r="Y14" i="3"/>
  <c r="X14" i="3"/>
  <c r="AA27" i="3"/>
  <c r="Z27" i="3"/>
  <c r="Y27" i="3"/>
  <c r="X41" i="3"/>
  <c r="X27" i="3"/>
  <c r="AB41" i="3"/>
  <c r="AA41" i="3"/>
  <c r="Y41" i="3"/>
  <c r="AA53" i="3" l="1"/>
  <c r="AA54" i="3" s="1"/>
  <c r="Y53" i="3"/>
  <c r="Y54" i="3" s="1"/>
  <c r="AD49" i="3" l="1"/>
  <c r="X52" i="3"/>
  <c r="X53" i="3" s="1"/>
  <c r="X54" i="3" s="1"/>
  <c r="V46" i="3"/>
  <c r="AD46" i="3" l="1"/>
  <c r="AB14" i="3" l="1"/>
  <c r="I27" i="3" l="1"/>
  <c r="Q35" i="3" l="1"/>
  <c r="Q36" i="3"/>
  <c r="Q16" i="3" l="1"/>
  <c r="S16" i="3"/>
  <c r="AF16" i="3" l="1"/>
  <c r="AD16" i="3"/>
  <c r="J46" i="3" l="1"/>
  <c r="I46" i="3"/>
  <c r="U52" i="3"/>
  <c r="L27" i="3" l="1"/>
  <c r="AB27" i="3" l="1"/>
  <c r="V27" i="3" l="1"/>
  <c r="W27" i="3"/>
  <c r="AC27" i="3" s="1"/>
  <c r="AF19" i="3"/>
  <c r="AF20" i="3"/>
  <c r="AF21" i="3"/>
  <c r="AF22" i="3"/>
  <c r="AF23" i="3"/>
  <c r="AF24" i="3"/>
  <c r="AD19" i="3"/>
  <c r="AD20" i="3"/>
  <c r="AD21" i="3"/>
  <c r="AD22" i="3"/>
  <c r="AD23" i="3"/>
  <c r="AD24" i="3"/>
  <c r="AE27" i="3" l="1"/>
  <c r="AF27" i="3"/>
  <c r="AD27" i="3"/>
  <c r="Q37" i="3" l="1"/>
  <c r="CB8" i="3" l="1"/>
  <c r="CC8" i="3" s="1"/>
  <c r="CB11" i="3"/>
  <c r="CC11" i="3" s="1"/>
  <c r="CF7" i="3"/>
  <c r="CG7" i="3" s="1"/>
  <c r="CF8" i="3"/>
  <c r="CG8" i="3" s="1"/>
  <c r="CF9" i="3"/>
  <c r="CG9" i="3" s="1"/>
  <c r="CF10" i="3"/>
  <c r="CG10" i="3" s="1"/>
  <c r="CD7" i="3"/>
  <c r="CE7" i="3" s="1"/>
  <c r="CD8" i="3"/>
  <c r="CE8" i="3" s="1"/>
  <c r="CD9" i="3"/>
  <c r="CE9" i="3" s="1"/>
  <c r="CD10" i="3"/>
  <c r="CE10" i="3" s="1"/>
  <c r="CB7" i="3"/>
  <c r="CC7" i="3" s="1"/>
  <c r="CB9" i="3"/>
  <c r="CC9" i="3" s="1"/>
  <c r="CB10" i="3"/>
  <c r="CC10" i="3" s="1"/>
  <c r="CF22" i="3"/>
  <c r="CG22" i="3" s="1"/>
  <c r="CF23" i="3"/>
  <c r="CG23" i="3" s="1"/>
  <c r="CF24" i="3"/>
  <c r="CG24" i="3" s="1"/>
  <c r="CF25" i="3"/>
  <c r="CG25" i="3" s="1"/>
  <c r="CF26" i="3"/>
  <c r="CG26" i="3" s="1"/>
  <c r="CF28" i="3"/>
  <c r="CG28" i="3" s="1"/>
  <c r="CF29" i="3"/>
  <c r="CG29" i="3" s="1"/>
  <c r="CF30" i="3"/>
  <c r="CG30" i="3" s="1"/>
  <c r="CF31" i="3"/>
  <c r="CG31" i="3" s="1"/>
  <c r="CF32" i="3"/>
  <c r="CG32" i="3" s="1"/>
  <c r="CF33" i="3"/>
  <c r="CG33" i="3" s="1"/>
  <c r="CF34" i="3"/>
  <c r="CG34" i="3" s="1"/>
  <c r="CF35" i="3"/>
  <c r="CG35" i="3" s="1"/>
  <c r="CF36" i="3"/>
  <c r="CG36" i="3" s="1"/>
  <c r="CF37" i="3"/>
  <c r="CG37" i="3" s="1"/>
  <c r="CF38" i="3"/>
  <c r="CG38" i="3" s="1"/>
  <c r="CF39" i="3"/>
  <c r="CG39" i="3" s="1"/>
  <c r="CF40" i="3"/>
  <c r="CG40" i="3" s="1"/>
  <c r="CF42" i="3"/>
  <c r="CG42" i="3" s="1"/>
  <c r="CF43" i="3"/>
  <c r="CG43" i="3" s="1"/>
  <c r="CF44" i="3"/>
  <c r="CG44" i="3" s="1"/>
  <c r="CF47" i="3"/>
  <c r="CG47" i="3" s="1"/>
  <c r="CF48" i="3"/>
  <c r="CG48" i="3" s="1"/>
  <c r="CF49" i="3"/>
  <c r="CG49" i="3" s="1"/>
  <c r="CF50" i="3"/>
  <c r="CG50" i="3" s="1"/>
  <c r="CF51" i="3"/>
  <c r="CG51" i="3" s="1"/>
  <c r="CD22" i="3"/>
  <c r="CE22" i="3" s="1"/>
  <c r="CD23" i="3"/>
  <c r="CE23" i="3" s="1"/>
  <c r="CD24" i="3"/>
  <c r="CE24" i="3" s="1"/>
  <c r="CD25" i="3"/>
  <c r="CE25" i="3" s="1"/>
  <c r="CD26" i="3"/>
  <c r="CE26" i="3" s="1"/>
  <c r="CD28" i="3"/>
  <c r="CE28" i="3" s="1"/>
  <c r="CD29" i="3"/>
  <c r="CE29" i="3" s="1"/>
  <c r="CD30" i="3"/>
  <c r="CE30" i="3" s="1"/>
  <c r="CD31" i="3"/>
  <c r="CE31" i="3" s="1"/>
  <c r="CD32" i="3"/>
  <c r="CE32" i="3" s="1"/>
  <c r="CD33" i="3"/>
  <c r="CE33" i="3" s="1"/>
  <c r="CD34" i="3"/>
  <c r="CE34" i="3" s="1"/>
  <c r="CD35" i="3"/>
  <c r="CE35" i="3" s="1"/>
  <c r="CD36" i="3"/>
  <c r="CE36" i="3" s="1"/>
  <c r="CD37" i="3"/>
  <c r="CE37" i="3" s="1"/>
  <c r="CD38" i="3"/>
  <c r="CE38" i="3" s="1"/>
  <c r="CD39" i="3"/>
  <c r="CE39" i="3" s="1"/>
  <c r="CD40" i="3"/>
  <c r="CE40" i="3" s="1"/>
  <c r="CD42" i="3"/>
  <c r="CE42" i="3" s="1"/>
  <c r="CD43" i="3"/>
  <c r="CE43" i="3" s="1"/>
  <c r="CD44" i="3"/>
  <c r="CE44" i="3" s="1"/>
  <c r="CD47" i="3"/>
  <c r="CE47" i="3" s="1"/>
  <c r="CD48" i="3"/>
  <c r="CE48" i="3" s="1"/>
  <c r="CD49" i="3"/>
  <c r="CE49" i="3" s="1"/>
  <c r="CD50" i="3"/>
  <c r="CE50" i="3" s="1"/>
  <c r="CD51" i="3"/>
  <c r="CE51" i="3" s="1"/>
  <c r="CB22" i="3"/>
  <c r="CC22" i="3" s="1"/>
  <c r="CB23" i="3"/>
  <c r="CC23" i="3" s="1"/>
  <c r="CB24" i="3"/>
  <c r="CC24" i="3" s="1"/>
  <c r="CB25" i="3"/>
  <c r="CC25" i="3" s="1"/>
  <c r="CB26" i="3"/>
  <c r="CC26" i="3" s="1"/>
  <c r="CB28" i="3"/>
  <c r="CC28" i="3" s="1"/>
  <c r="CB29" i="3"/>
  <c r="CC29" i="3" s="1"/>
  <c r="CB30" i="3"/>
  <c r="CC30" i="3" s="1"/>
  <c r="CB31" i="3"/>
  <c r="CC31" i="3" s="1"/>
  <c r="CB32" i="3"/>
  <c r="CC32" i="3" s="1"/>
  <c r="CB33" i="3"/>
  <c r="CC33" i="3" s="1"/>
  <c r="CB34" i="3"/>
  <c r="CC34" i="3" s="1"/>
  <c r="CB35" i="3"/>
  <c r="CC35" i="3" s="1"/>
  <c r="CB36" i="3"/>
  <c r="CC36" i="3" s="1"/>
  <c r="CB37" i="3"/>
  <c r="CC37" i="3" s="1"/>
  <c r="CB38" i="3"/>
  <c r="CC38" i="3" s="1"/>
  <c r="CB39" i="3"/>
  <c r="CC39" i="3" s="1"/>
  <c r="CB40" i="3"/>
  <c r="CC40" i="3" s="1"/>
  <c r="CB42" i="3"/>
  <c r="CC42" i="3" s="1"/>
  <c r="CB43" i="3"/>
  <c r="CC43" i="3" s="1"/>
  <c r="CB44" i="3"/>
  <c r="CC44" i="3" s="1"/>
  <c r="CB47" i="3"/>
  <c r="CC47" i="3" s="1"/>
  <c r="CB48" i="3"/>
  <c r="CC48" i="3" s="1"/>
  <c r="CB49" i="3"/>
  <c r="CC49" i="3" s="1"/>
  <c r="CB50" i="3"/>
  <c r="CC50" i="3" s="1"/>
  <c r="CB51" i="3"/>
  <c r="CC51" i="3" s="1"/>
  <c r="CF11" i="3"/>
  <c r="CG11" i="3" s="1"/>
  <c r="CD11" i="3"/>
  <c r="CE11" i="3" s="1"/>
  <c r="CF19" i="3"/>
  <c r="CG19" i="3" s="1"/>
  <c r="CF20" i="3"/>
  <c r="CG20" i="3" s="1"/>
  <c r="CF21" i="3"/>
  <c r="CG21" i="3" s="1"/>
  <c r="CF12" i="3"/>
  <c r="CG12" i="3" s="1"/>
  <c r="CF13" i="3"/>
  <c r="CG13" i="3" s="1"/>
  <c r="CF15" i="3"/>
  <c r="CG15" i="3" s="1"/>
  <c r="CF16" i="3"/>
  <c r="CG16" i="3" s="1"/>
  <c r="CF17" i="3"/>
  <c r="CG17" i="3" s="1"/>
  <c r="CF18" i="3"/>
  <c r="CG18" i="3" s="1"/>
  <c r="CD12" i="3"/>
  <c r="CE12" i="3" s="1"/>
  <c r="CD13" i="3"/>
  <c r="CE13" i="3" s="1"/>
  <c r="CD15" i="3"/>
  <c r="CE15" i="3" s="1"/>
  <c r="CD16" i="3"/>
  <c r="CE16" i="3" s="1"/>
  <c r="CD17" i="3"/>
  <c r="CE17" i="3" s="1"/>
  <c r="CD18" i="3"/>
  <c r="CE18" i="3" s="1"/>
  <c r="CD19" i="3"/>
  <c r="CE19" i="3" s="1"/>
  <c r="CD20" i="3"/>
  <c r="CE20" i="3" s="1"/>
  <c r="CD21" i="3"/>
  <c r="CE21" i="3" s="1"/>
  <c r="CB12" i="3"/>
  <c r="CC12" i="3" s="1"/>
  <c r="CB13" i="3"/>
  <c r="CC13" i="3" s="1"/>
  <c r="CB15" i="3"/>
  <c r="CC15" i="3" s="1"/>
  <c r="CB16" i="3"/>
  <c r="CC16" i="3" s="1"/>
  <c r="CB17" i="3"/>
  <c r="CC17" i="3" s="1"/>
  <c r="CB18" i="3"/>
  <c r="CC18" i="3" s="1"/>
  <c r="CB19" i="3"/>
  <c r="CC19" i="3" s="1"/>
  <c r="CB20" i="3"/>
  <c r="CC20" i="3" s="1"/>
  <c r="CB21" i="3"/>
  <c r="CC21" i="3" s="1"/>
  <c r="AF46" i="3" l="1"/>
  <c r="CB46" i="3" l="1"/>
  <c r="CC46" i="3" s="1"/>
  <c r="CF46" i="3"/>
  <c r="CG46" i="3" s="1"/>
  <c r="CD46" i="3" l="1"/>
  <c r="CE46" i="3" s="1"/>
  <c r="AE46" i="3"/>
  <c r="AE16" i="3" l="1"/>
  <c r="AC16" i="3"/>
  <c r="AB52" i="3" l="1"/>
  <c r="W52" i="3"/>
  <c r="V52" i="3"/>
  <c r="J52" i="3"/>
  <c r="I52" i="3"/>
  <c r="P52" i="3"/>
  <c r="L52" i="3"/>
  <c r="M52" i="3"/>
  <c r="S15" i="3" l="1"/>
  <c r="T29" i="3" l="1"/>
  <c r="T30" i="3"/>
  <c r="T31" i="3"/>
  <c r="T32" i="3"/>
  <c r="T33" i="3"/>
  <c r="T34" i="3"/>
  <c r="T35" i="3"/>
  <c r="T36" i="3"/>
  <c r="T38" i="3"/>
  <c r="T39" i="3"/>
  <c r="T40" i="3"/>
  <c r="S29" i="3"/>
  <c r="S30" i="3"/>
  <c r="S31" i="3"/>
  <c r="S32" i="3"/>
  <c r="S33" i="3"/>
  <c r="S34" i="3"/>
  <c r="S35" i="3"/>
  <c r="S36" i="3"/>
  <c r="S38" i="3"/>
  <c r="S39" i="3"/>
  <c r="S40" i="3"/>
  <c r="R29" i="3"/>
  <c r="R30" i="3"/>
  <c r="R31" i="3"/>
  <c r="R32" i="3"/>
  <c r="R33" i="3"/>
  <c r="R34" i="3"/>
  <c r="R35" i="3"/>
  <c r="R36" i="3"/>
  <c r="R38" i="3"/>
  <c r="R39" i="3"/>
  <c r="R40" i="3"/>
  <c r="R37" i="3"/>
  <c r="S37" i="3"/>
  <c r="T37" i="3" l="1"/>
  <c r="T9" i="3"/>
  <c r="T10" i="3"/>
  <c r="T11" i="3"/>
  <c r="T12" i="3"/>
  <c r="T13" i="3"/>
  <c r="S9" i="3"/>
  <c r="S10" i="3"/>
  <c r="S11" i="3"/>
  <c r="S12" i="3"/>
  <c r="R9" i="3"/>
  <c r="R10" i="3"/>
  <c r="R11" i="3"/>
  <c r="R12" i="3"/>
  <c r="R13" i="3"/>
  <c r="Q9" i="3"/>
  <c r="Q10" i="3"/>
  <c r="Q11" i="3"/>
  <c r="Q12" i="3"/>
  <c r="T8" i="3" l="1"/>
  <c r="S8" i="3"/>
  <c r="R8" i="3"/>
  <c r="T15" i="3"/>
  <c r="T16" i="3"/>
  <c r="T17" i="3"/>
  <c r="T19" i="3"/>
  <c r="T20" i="3"/>
  <c r="T21" i="3"/>
  <c r="T22" i="3"/>
  <c r="T23" i="3"/>
  <c r="T24" i="3"/>
  <c r="R15" i="3"/>
  <c r="R16" i="3"/>
  <c r="R17" i="3"/>
  <c r="R19" i="3"/>
  <c r="R20" i="3"/>
  <c r="R21" i="3"/>
  <c r="R22" i="3"/>
  <c r="R23" i="3"/>
  <c r="R24" i="3"/>
  <c r="T18" i="3"/>
  <c r="R18" i="3" l="1"/>
  <c r="AD18" i="3"/>
  <c r="AF36" i="3" l="1"/>
  <c r="AE36" i="3"/>
  <c r="BA36" i="3" s="1"/>
  <c r="BB36" i="3" s="1"/>
  <c r="AD36" i="3"/>
  <c r="AC36" i="3"/>
  <c r="O68" i="3"/>
  <c r="M68" i="3"/>
  <c r="O64" i="3"/>
  <c r="P63" i="3"/>
  <c r="O63" i="3"/>
  <c r="P59" i="3"/>
  <c r="O59" i="3"/>
  <c r="P58" i="3"/>
  <c r="O58" i="3"/>
  <c r="O57" i="3"/>
  <c r="P56" i="3"/>
  <c r="O56" i="3"/>
  <c r="AU52" i="3"/>
  <c r="AQ52" i="3"/>
  <c r="AH52" i="3"/>
  <c r="AG52" i="3"/>
  <c r="AD51" i="3"/>
  <c r="AC51" i="3"/>
  <c r="AE51" i="3"/>
  <c r="BA51" i="3" s="1"/>
  <c r="BB51" i="3" s="1"/>
  <c r="R51" i="3"/>
  <c r="Q51" i="3"/>
  <c r="T51" i="3"/>
  <c r="S51" i="3"/>
  <c r="AQ50" i="3"/>
  <c r="AT50" i="3"/>
  <c r="AQ49" i="3"/>
  <c r="AC49" i="3"/>
  <c r="S49" i="3"/>
  <c r="R49" i="3"/>
  <c r="Q49" i="3"/>
  <c r="T49" i="3"/>
  <c r="AQ48" i="3"/>
  <c r="BA48" i="3"/>
  <c r="BB48" i="3" s="1"/>
  <c r="AT48" i="3"/>
  <c r="AQ47" i="3"/>
  <c r="AF47" i="3"/>
  <c r="AD47" i="3"/>
  <c r="AC47" i="3"/>
  <c r="AE47" i="3"/>
  <c r="BA47" i="3" s="1"/>
  <c r="BB47" i="3" s="1"/>
  <c r="O52" i="3"/>
  <c r="N52" i="3"/>
  <c r="Q47" i="3"/>
  <c r="AT47" i="3"/>
  <c r="AU46" i="3"/>
  <c r="AT46" i="3"/>
  <c r="BA44" i="3"/>
  <c r="BB44" i="3" s="1"/>
  <c r="AF43" i="3"/>
  <c r="AE43" i="3"/>
  <c r="BA43" i="3" s="1"/>
  <c r="BB43" i="3" s="1"/>
  <c r="AC43" i="3"/>
  <c r="T43" i="3"/>
  <c r="S43" i="3"/>
  <c r="R43" i="3"/>
  <c r="Q43" i="3"/>
  <c r="AQ42" i="3"/>
  <c r="AF42" i="3"/>
  <c r="AD42" i="3"/>
  <c r="Q42" i="3"/>
  <c r="T42" i="3"/>
  <c r="S42" i="3"/>
  <c r="R42" i="3"/>
  <c r="AU41" i="3"/>
  <c r="AQ41" i="3"/>
  <c r="AH41" i="3"/>
  <c r="AG41" i="3"/>
  <c r="V41" i="3"/>
  <c r="U41" i="3"/>
  <c r="J41" i="3"/>
  <c r="I41" i="3"/>
  <c r="AQ40" i="3"/>
  <c r="AF40" i="3"/>
  <c r="AD40" i="3"/>
  <c r="AT40" i="3"/>
  <c r="AC40" i="3"/>
  <c r="Q40" i="3"/>
  <c r="AF39" i="3"/>
  <c r="AE39" i="3"/>
  <c r="BA39" i="3" s="1"/>
  <c r="BB39" i="3" s="1"/>
  <c r="AD39" i="3"/>
  <c r="AC39" i="3"/>
  <c r="AT39" i="3"/>
  <c r="BA38" i="3"/>
  <c r="BB38" i="3" s="1"/>
  <c r="AF38" i="3"/>
  <c r="AD38" i="3"/>
  <c r="Q38" i="3"/>
  <c r="AT37" i="3"/>
  <c r="AQ37" i="3"/>
  <c r="AF37" i="3"/>
  <c r="AE37" i="3"/>
  <c r="BA37" i="3" s="1"/>
  <c r="BB37" i="3" s="1"/>
  <c r="AD37" i="3"/>
  <c r="AC37" i="3"/>
  <c r="AT36" i="3"/>
  <c r="AQ36" i="3"/>
  <c r="AT35" i="3"/>
  <c r="AQ35" i="3"/>
  <c r="AF35" i="3"/>
  <c r="AE35" i="3"/>
  <c r="BA35" i="3" s="1"/>
  <c r="BB35" i="3" s="1"/>
  <c r="AD35" i="3"/>
  <c r="AC35" i="3"/>
  <c r="AQ34" i="3"/>
  <c r="AE34" i="3"/>
  <c r="BA34" i="3" s="1"/>
  <c r="BB34" i="3" s="1"/>
  <c r="AD34" i="3"/>
  <c r="AC34" i="3"/>
  <c r="AF34" i="3"/>
  <c r="AT34" i="3"/>
  <c r="Q34" i="3"/>
  <c r="AY33" i="3"/>
  <c r="AQ33" i="3"/>
  <c r="AD33" i="3"/>
  <c r="AC33" i="3"/>
  <c r="AF33" i="3"/>
  <c r="AT33" i="3"/>
  <c r="AE33" i="3"/>
  <c r="BA33" i="3" s="1"/>
  <c r="BB33" i="3" s="1"/>
  <c r="Q33" i="3"/>
  <c r="AT32" i="3"/>
  <c r="AF32" i="3"/>
  <c r="AE32" i="3"/>
  <c r="BA32" i="3" s="1"/>
  <c r="BB32" i="3" s="1"/>
  <c r="AD32" i="3"/>
  <c r="AC32" i="3"/>
  <c r="Q32" i="3"/>
  <c r="AT31" i="3"/>
  <c r="AF31" i="3"/>
  <c r="AE31" i="3"/>
  <c r="BA31" i="3" s="1"/>
  <c r="BB31" i="3" s="1"/>
  <c r="AD31" i="3"/>
  <c r="AC31" i="3"/>
  <c r="BM30" i="3"/>
  <c r="AQ30" i="3"/>
  <c r="AF30" i="3"/>
  <c r="AD30" i="3"/>
  <c r="AT30" i="3"/>
  <c r="AC30" i="3"/>
  <c r="M41" i="3"/>
  <c r="AQ29" i="3"/>
  <c r="AE29" i="3"/>
  <c r="BA29" i="3" s="1"/>
  <c r="AD29" i="3"/>
  <c r="AC29" i="3"/>
  <c r="AF29" i="3"/>
  <c r="AT29" i="3"/>
  <c r="BM28" i="3"/>
  <c r="AQ28" i="3"/>
  <c r="AD28" i="3"/>
  <c r="AC28" i="3"/>
  <c r="AF28" i="3"/>
  <c r="Z41" i="3"/>
  <c r="AE28" i="3"/>
  <c r="BA28" i="3" s="1"/>
  <c r="R28" i="3"/>
  <c r="Q28" i="3"/>
  <c r="P41" i="3"/>
  <c r="S28" i="3"/>
  <c r="N41" i="3"/>
  <c r="AQ27" i="3"/>
  <c r="AH27" i="3"/>
  <c r="AG27" i="3"/>
  <c r="U27" i="3"/>
  <c r="M27" i="3"/>
  <c r="J27" i="3"/>
  <c r="BA26" i="3"/>
  <c r="AQ26" i="3"/>
  <c r="BA25" i="3"/>
  <c r="AQ25" i="3"/>
  <c r="AQ24" i="3"/>
  <c r="AC24" i="3"/>
  <c r="S24" i="3"/>
  <c r="Q24" i="3"/>
  <c r="AY23" i="3"/>
  <c r="BS23" i="3" s="1"/>
  <c r="BT23" i="3" s="1"/>
  <c r="AC23" i="3"/>
  <c r="Q23" i="3"/>
  <c r="S23" i="3"/>
  <c r="AQ22" i="3"/>
  <c r="AE22" i="3"/>
  <c r="BA22" i="3" s="1"/>
  <c r="AC22" i="3"/>
  <c r="K27" i="3"/>
  <c r="AC21" i="3"/>
  <c r="S21" i="3"/>
  <c r="Q21" i="3"/>
  <c r="BA20" i="3"/>
  <c r="BB20" i="3" s="1"/>
  <c r="BS19" i="3"/>
  <c r="BS20" i="3" s="1"/>
  <c r="BS21" i="3" s="1"/>
  <c r="AQ19" i="3"/>
  <c r="AE19" i="3"/>
  <c r="BA19" i="3" s="1"/>
  <c r="BB19" i="3" s="1"/>
  <c r="AC19" i="3"/>
  <c r="Q19" i="3"/>
  <c r="S19" i="3"/>
  <c r="AQ18" i="3"/>
  <c r="AF18" i="3"/>
  <c r="AE18" i="3"/>
  <c r="AC18" i="3"/>
  <c r="S18" i="3"/>
  <c r="Q18" i="3"/>
  <c r="AQ17" i="3"/>
  <c r="AD17" i="3"/>
  <c r="AC17" i="3"/>
  <c r="AE17" i="3"/>
  <c r="Q17" i="3"/>
  <c r="S17" i="3"/>
  <c r="AQ16" i="3"/>
  <c r="BU15" i="3"/>
  <c r="BV15" i="3" s="1"/>
  <c r="AQ15" i="3"/>
  <c r="AD15" i="3"/>
  <c r="AC15" i="3"/>
  <c r="P27" i="3"/>
  <c r="O27" i="3"/>
  <c r="N27" i="3"/>
  <c r="Q15" i="3"/>
  <c r="AQ14" i="3"/>
  <c r="AH14" i="3"/>
  <c r="AG14" i="3"/>
  <c r="V14" i="3"/>
  <c r="AT17" i="3" s="1"/>
  <c r="U14" i="3"/>
  <c r="J14" i="3"/>
  <c r="I14" i="3"/>
  <c r="AQ13" i="3"/>
  <c r="AF13" i="3"/>
  <c r="AE13" i="3"/>
  <c r="BA13" i="3" s="1"/>
  <c r="BB13" i="3" s="1"/>
  <c r="AD13" i="3"/>
  <c r="AC13" i="3"/>
  <c r="AQ12" i="3"/>
  <c r="AF12" i="3"/>
  <c r="AE12" i="3"/>
  <c r="BA12" i="3" s="1"/>
  <c r="BB12" i="3" s="1"/>
  <c r="AD12" i="3"/>
  <c r="AC12" i="3"/>
  <c r="BM11" i="3"/>
  <c r="BE11" i="3"/>
  <c r="AQ11" i="3"/>
  <c r="AE11" i="3"/>
  <c r="BA11" i="3" s="1"/>
  <c r="AD11" i="3"/>
  <c r="AC11" i="3"/>
  <c r="AF11" i="3"/>
  <c r="BS10" i="3"/>
  <c r="BT10" i="3" s="1"/>
  <c r="BU10" i="3" s="1"/>
  <c r="AQ10" i="3"/>
  <c r="AE10" i="3"/>
  <c r="BA10" i="3" s="1"/>
  <c r="AD10" i="3"/>
  <c r="AC10" i="3"/>
  <c r="AF10" i="3"/>
  <c r="AQ9" i="3"/>
  <c r="AF9" i="3"/>
  <c r="AD9" i="3"/>
  <c r="AC9" i="3"/>
  <c r="AQ8" i="3"/>
  <c r="AF8" i="3"/>
  <c r="AE8" i="3"/>
  <c r="BA8" i="3" s="1"/>
  <c r="BB8" i="3" s="1"/>
  <c r="AD8" i="3"/>
  <c r="AC8" i="3"/>
  <c r="BT7" i="3"/>
  <c r="BU7" i="3" s="1"/>
  <c r="BV7" i="3" s="1"/>
  <c r="BW7" i="3" s="1"/>
  <c r="AQ7" i="3"/>
  <c r="AF7" i="3"/>
  <c r="AE7" i="3"/>
  <c r="AD7" i="3"/>
  <c r="AC7" i="3"/>
  <c r="R7" i="3"/>
  <c r="T7" i="3"/>
  <c r="O14" i="3"/>
  <c r="N14" i="3"/>
  <c r="M14" i="3"/>
  <c r="Q7" i="3"/>
  <c r="AZ2" i="3"/>
  <c r="Q2" i="3"/>
  <c r="CF41" i="3" l="1"/>
  <c r="CG41" i="3" s="1"/>
  <c r="CD27" i="3"/>
  <c r="CE27" i="3" s="1"/>
  <c r="CF14" i="3"/>
  <c r="CG14" i="3" s="1"/>
  <c r="CF27" i="3"/>
  <c r="CG27" i="3" s="1"/>
  <c r="O65" i="3"/>
  <c r="BA3" i="3"/>
  <c r="T27" i="3"/>
  <c r="R27" i="3"/>
  <c r="S27" i="3"/>
  <c r="AH53" i="3"/>
  <c r="AG53" i="3"/>
  <c r="U53" i="3"/>
  <c r="U54" i="3" s="1"/>
  <c r="V53" i="3"/>
  <c r="V54" i="3" s="1"/>
  <c r="Q27" i="3"/>
  <c r="J53" i="3"/>
  <c r="J54" i="3" s="1"/>
  <c r="I53" i="3"/>
  <c r="I54" i="3" s="1"/>
  <c r="M53" i="3"/>
  <c r="T52" i="3"/>
  <c r="AT27" i="3"/>
  <c r="N53" i="3"/>
  <c r="R52" i="3"/>
  <c r="AD41" i="3"/>
  <c r="S7" i="3"/>
  <c r="L14" i="3"/>
  <c r="R14" i="3" s="1"/>
  <c r="CD14" i="3"/>
  <c r="CE14" i="3" s="1"/>
  <c r="BW15" i="3"/>
  <c r="BX15" i="3" s="1"/>
  <c r="S22" i="3"/>
  <c r="K14" i="3"/>
  <c r="Q14" i="3" s="1"/>
  <c r="Q39" i="3"/>
  <c r="L41" i="3"/>
  <c r="T41" i="3" s="1"/>
  <c r="Z14" i="3"/>
  <c r="Q22" i="3"/>
  <c r="BB28" i="3"/>
  <c r="Q29" i="3"/>
  <c r="AE30" i="3"/>
  <c r="BA30" i="3" s="1"/>
  <c r="BB30" i="3" s="1"/>
  <c r="AE40" i="3"/>
  <c r="BA40" i="3" s="1"/>
  <c r="BB40" i="3" s="1"/>
  <c r="K41" i="3"/>
  <c r="Q41" i="3" s="1"/>
  <c r="AF49" i="3"/>
  <c r="AE23" i="3"/>
  <c r="BA23" i="3" s="1"/>
  <c r="BB23" i="3" s="1"/>
  <c r="BB29" i="3"/>
  <c r="T47" i="3"/>
  <c r="AE49" i="3"/>
  <c r="BA49" i="3" s="1"/>
  <c r="BB49" i="3" s="1"/>
  <c r="BB10" i="3"/>
  <c r="BB11" i="3"/>
  <c r="P14" i="3"/>
  <c r="P53" i="3" s="1"/>
  <c r="AF15" i="3"/>
  <c r="BB22" i="3"/>
  <c r="AE24" i="3"/>
  <c r="BA24" i="3" s="1"/>
  <c r="BB24" i="3" s="1"/>
  <c r="AT28" i="3"/>
  <c r="Q30" i="3"/>
  <c r="AY34" i="3"/>
  <c r="AY36" i="3" s="1"/>
  <c r="AE21" i="3"/>
  <c r="BA21" i="3" s="1"/>
  <c r="BB21" i="3" s="1"/>
  <c r="R47" i="3"/>
  <c r="T28" i="3"/>
  <c r="AT38" i="3"/>
  <c r="O41" i="3"/>
  <c r="W41" i="3"/>
  <c r="AC41" i="3" s="1"/>
  <c r="AF51" i="3"/>
  <c r="AT49" i="3"/>
  <c r="S47" i="3"/>
  <c r="AE9" i="3"/>
  <c r="BA9" i="3" s="1"/>
  <c r="BB9" i="3" s="1"/>
  <c r="W14" i="3"/>
  <c r="AC14" i="3" s="1"/>
  <c r="AE15" i="3"/>
  <c r="AE50" i="3"/>
  <c r="BA50" i="3" s="1"/>
  <c r="BB50" i="3" s="1"/>
  <c r="AD14" i="3" l="1"/>
  <c r="Z53" i="3"/>
  <c r="Z54" i="3" s="1"/>
  <c r="CB41" i="3"/>
  <c r="CC41" i="3" s="1"/>
  <c r="CB27" i="3"/>
  <c r="CC27" i="3" s="1"/>
  <c r="CB14" i="3"/>
  <c r="CC14" i="3" s="1"/>
  <c r="AF41" i="3"/>
  <c r="CD41" i="3"/>
  <c r="CE41" i="3" s="1"/>
  <c r="AE14" i="3"/>
  <c r="BA14" i="3" s="1"/>
  <c r="BB14" i="3" s="1"/>
  <c r="W53" i="3"/>
  <c r="W54" i="3" s="1"/>
  <c r="S14" i="3"/>
  <c r="AE41" i="3"/>
  <c r="BA41" i="3" s="1"/>
  <c r="AB53" i="3"/>
  <c r="AB60" i="3" s="1"/>
  <c r="AT41" i="3"/>
  <c r="P57" i="3"/>
  <c r="P60" i="3" s="1"/>
  <c r="P54" i="3"/>
  <c r="AC42" i="3"/>
  <c r="AE42" i="3"/>
  <c r="AT14" i="3"/>
  <c r="AE52" i="3"/>
  <c r="BA52" i="3" s="1"/>
  <c r="R41" i="3"/>
  <c r="AC52" i="3"/>
  <c r="AT52" i="3"/>
  <c r="K52" i="3"/>
  <c r="AF14" i="3"/>
  <c r="AD52" i="3"/>
  <c r="M54" i="3"/>
  <c r="N54" i="3"/>
  <c r="AF52" i="3"/>
  <c r="BA27" i="3"/>
  <c r="L53" i="3"/>
  <c r="S41" i="3"/>
  <c r="T14" i="3"/>
  <c r="O53" i="3"/>
  <c r="BA42" i="3" l="1"/>
  <c r="BB42" i="3" s="1"/>
  <c r="BA46" i="3"/>
  <c r="BB46" i="3" s="1"/>
  <c r="AF53" i="3"/>
  <c r="AB54" i="3"/>
  <c r="AB65" i="3" s="1"/>
  <c r="AB66" i="3" s="1"/>
  <c r="AC54" i="3"/>
  <c r="AC53" i="3"/>
  <c r="AE53" i="3"/>
  <c r="BA53" i="3" s="1"/>
  <c r="AE54" i="3"/>
  <c r="AD53" i="3"/>
  <c r="L54" i="3"/>
  <c r="R54" i="3" s="1"/>
  <c r="L66" i="3"/>
  <c r="X66" i="3"/>
  <c r="AB61" i="3"/>
  <c r="P64" i="3"/>
  <c r="P65" i="3" s="1"/>
  <c r="P66" i="3" s="1"/>
  <c r="O54" i="3"/>
  <c r="O60" i="3"/>
  <c r="K53" i="3"/>
  <c r="S53" i="3" s="1"/>
  <c r="S52" i="3"/>
  <c r="Q52" i="3"/>
  <c r="T53" i="3"/>
  <c r="R53" i="3"/>
  <c r="Q66" i="3" l="1"/>
  <c r="AC66" i="3"/>
  <c r="O66" i="3"/>
  <c r="K54" i="3"/>
  <c r="Q54" i="3" s="1"/>
  <c r="Q53" i="3"/>
  <c r="Q60" i="3"/>
  <c r="AF54" i="3"/>
  <c r="T54" i="3"/>
  <c r="AD54" i="3"/>
  <c r="O61" i="3" l="1"/>
  <c r="S54" i="3"/>
</calcChain>
</file>

<file path=xl/sharedStrings.xml><?xml version="1.0" encoding="utf-8"?>
<sst xmlns="http://schemas.openxmlformats.org/spreadsheetml/2006/main" count="199" uniqueCount="154">
  <si>
    <t xml:space="preserve">Stock Loss </t>
  </si>
  <si>
    <t>Overburden overrun</t>
  </si>
  <si>
    <t>A</t>
  </si>
  <si>
    <t>B</t>
  </si>
  <si>
    <t>C</t>
  </si>
  <si>
    <t>D=A-B</t>
  </si>
  <si>
    <t>Sales - Qty</t>
  </si>
  <si>
    <t>Revenue</t>
  </si>
  <si>
    <t>GP</t>
  </si>
  <si>
    <t>NP</t>
  </si>
  <si>
    <t>GP%</t>
  </si>
  <si>
    <t>NP%</t>
  </si>
  <si>
    <t xml:space="preserve">Production - Qty </t>
  </si>
  <si>
    <t>Gross CPI</t>
  </si>
  <si>
    <t>Net CPI</t>
  </si>
  <si>
    <t>Plan Average Sales Price without tpt</t>
  </si>
  <si>
    <t>Actual Average Sales Price without tpt</t>
  </si>
  <si>
    <t>Approved Maximun Stock</t>
  </si>
  <si>
    <t>15.07.2024 Stock Balance (SAP)</t>
  </si>
  <si>
    <t>Finished Good Stock Balance (SAP)</t>
  </si>
  <si>
    <t>Difference</t>
  </si>
  <si>
    <t>Remarks</t>
  </si>
  <si>
    <t>Cost Overrun</t>
  </si>
  <si>
    <t>31st NP%</t>
  </si>
  <si>
    <t>31st Qty</t>
  </si>
  <si>
    <t>SAP Code</t>
  </si>
  <si>
    <t>S/N</t>
  </si>
  <si>
    <t>Plant</t>
  </si>
  <si>
    <t>Average Sales price - Budget</t>
  </si>
  <si>
    <t>Average Sales price - Actual</t>
  </si>
  <si>
    <t>Material</t>
  </si>
  <si>
    <t>Fuel</t>
  </si>
  <si>
    <t>Machinary</t>
  </si>
  <si>
    <t>Labour</t>
  </si>
  <si>
    <t>Other</t>
  </si>
  <si>
    <t>Total</t>
  </si>
  <si>
    <t>Plan</t>
  </si>
  <si>
    <t>Actual</t>
  </si>
  <si>
    <t>Fuel difference</t>
  </si>
  <si>
    <t>Aggregate</t>
  </si>
  <si>
    <t>Explosive</t>
  </si>
  <si>
    <t>Bitumen</t>
  </si>
  <si>
    <t>Material Difference</t>
  </si>
  <si>
    <t>1026ASPL</t>
  </si>
  <si>
    <t xml:space="preserve">APKT II </t>
  </si>
  <si>
    <t>1022ASPL</t>
  </si>
  <si>
    <t xml:space="preserve">APMP </t>
  </si>
  <si>
    <t>1029ASPL</t>
  </si>
  <si>
    <t>APMG II</t>
  </si>
  <si>
    <t>1023ASPL</t>
  </si>
  <si>
    <t xml:space="preserve">APSV </t>
  </si>
  <si>
    <t>1027ASPL</t>
  </si>
  <si>
    <t>APGW</t>
  </si>
  <si>
    <t>1028ASPL</t>
  </si>
  <si>
    <t>APOK</t>
  </si>
  <si>
    <t>1030ASPL</t>
  </si>
  <si>
    <t xml:space="preserve">APHT </t>
  </si>
  <si>
    <t>Asphalt Sector</t>
  </si>
  <si>
    <t>Wheel loder overrun</t>
  </si>
  <si>
    <t>Fuel over run</t>
  </si>
  <si>
    <t>input material transport</t>
  </si>
  <si>
    <t>total</t>
  </si>
  <si>
    <t>1062CRPL</t>
  </si>
  <si>
    <t xml:space="preserve">CPMR-150 </t>
  </si>
  <si>
    <t>1061CRPL</t>
  </si>
  <si>
    <t>CPMK</t>
  </si>
  <si>
    <t>-</t>
  </si>
  <si>
    <t xml:space="preserve">CPSV II </t>
  </si>
  <si>
    <t>1067CRPL</t>
  </si>
  <si>
    <t xml:space="preserve">CPMP II </t>
  </si>
  <si>
    <t>x`</t>
  </si>
  <si>
    <t>1069CRPL</t>
  </si>
  <si>
    <t>CPTB - Operation</t>
  </si>
  <si>
    <t>CPTB - Trading RDA</t>
  </si>
  <si>
    <t>1072CRKG</t>
  </si>
  <si>
    <t>CPTB II</t>
  </si>
  <si>
    <t/>
  </si>
  <si>
    <t>CPKG</t>
  </si>
  <si>
    <t>average sales price</t>
  </si>
  <si>
    <t>SWPL - Kosgama</t>
  </si>
  <si>
    <t xml:space="preserve">peliyagod low rate </t>
  </si>
  <si>
    <t>Average sales pice</t>
  </si>
  <si>
    <t>1071SWPL</t>
  </si>
  <si>
    <t xml:space="preserve">SWPL - Meerigama </t>
  </si>
  <si>
    <t>Crusher &amp; Msand sector</t>
  </si>
  <si>
    <t>1049QURY</t>
  </si>
  <si>
    <t xml:space="preserve">QRMR </t>
  </si>
  <si>
    <t>1040QURY</t>
  </si>
  <si>
    <t xml:space="preserve">QRSV </t>
  </si>
  <si>
    <t>1050QURY</t>
  </si>
  <si>
    <t>QRWT</t>
  </si>
  <si>
    <t>QRKG - External</t>
  </si>
  <si>
    <t>QRKG - Operational</t>
  </si>
  <si>
    <t>machine overrun</t>
  </si>
  <si>
    <t>1056QURY</t>
  </si>
  <si>
    <t xml:space="preserve">QRKG </t>
  </si>
  <si>
    <t>1047QURY</t>
  </si>
  <si>
    <t xml:space="preserve">QRHK </t>
  </si>
  <si>
    <t>1054QURY</t>
  </si>
  <si>
    <t xml:space="preserve">QROM </t>
  </si>
  <si>
    <t xml:space="preserve">QRMK </t>
  </si>
  <si>
    <t>1052QURY</t>
  </si>
  <si>
    <t>QRMP</t>
  </si>
  <si>
    <t>QRTB - External</t>
  </si>
  <si>
    <t>QRTB - Operational</t>
  </si>
  <si>
    <t>1055QURY</t>
  </si>
  <si>
    <t>QRTB</t>
  </si>
  <si>
    <t>1017CBPL</t>
  </si>
  <si>
    <t>Peliyagoda - Operation</t>
  </si>
  <si>
    <t>Peliyagoda - Hiring</t>
  </si>
  <si>
    <t>Peliyagoda - Trading</t>
  </si>
  <si>
    <t>Peliyagoda Total</t>
  </si>
  <si>
    <t>1010CBPL</t>
  </si>
  <si>
    <t>CBMG</t>
  </si>
  <si>
    <t>1013CBPL</t>
  </si>
  <si>
    <t>CBCP- I &amp; II</t>
  </si>
  <si>
    <t>1016CBPL</t>
  </si>
  <si>
    <t>CBCP- III</t>
  </si>
  <si>
    <t>1035CBPL</t>
  </si>
  <si>
    <t>CBPG</t>
  </si>
  <si>
    <t>Concrete Sector</t>
  </si>
  <si>
    <t>Without CWCT trading</t>
  </si>
  <si>
    <t>a</t>
  </si>
  <si>
    <t>Bitumen related expenses</t>
  </si>
  <si>
    <t>b</t>
  </si>
  <si>
    <t xml:space="preserve">Estimated Production incetive - 4% of Profit </t>
  </si>
  <si>
    <t>b2</t>
  </si>
  <si>
    <t>Shutdown payment</t>
  </si>
  <si>
    <t>b3</t>
  </si>
  <si>
    <t>Fuel discount</t>
  </si>
  <si>
    <t>c</t>
  </si>
  <si>
    <t>Total revenue &amp; Profit</t>
  </si>
  <si>
    <t>d</t>
  </si>
  <si>
    <t>PMD I Admin Overhead</t>
  </si>
  <si>
    <t>e</t>
  </si>
  <si>
    <t>Estimated Production incentive - PMD 1 Office</t>
  </si>
  <si>
    <t>f=d+e</t>
  </si>
  <si>
    <t>Total Cost for PMD 1 Office</t>
  </si>
  <si>
    <t>h=c+d+f</t>
  </si>
  <si>
    <t>Adjusted Profit with PMD I Overhead</t>
  </si>
  <si>
    <t>Loss of contribution</t>
  </si>
  <si>
    <t>CPMR</t>
  </si>
  <si>
    <t>SWPL</t>
  </si>
  <si>
    <t xml:space="preserve">CPTB </t>
  </si>
  <si>
    <t>Quarry Sector</t>
  </si>
  <si>
    <t>At Completion</t>
  </si>
  <si>
    <t xml:space="preserve">Revenue Variance </t>
  </si>
  <si>
    <t xml:space="preserve">NP Variance  </t>
  </si>
  <si>
    <t xml:space="preserve">QTY Variance </t>
  </si>
  <si>
    <t xml:space="preserve">Peliyagoda - Self loader </t>
  </si>
  <si>
    <t>CBKD</t>
  </si>
  <si>
    <t>Monitoring P &amp; L -31st May 2026</t>
  </si>
  <si>
    <t>Monitoring P &amp; L -24th May 2026</t>
  </si>
  <si>
    <t>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</si>
</sst>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000000_);_(* \(#,##0.0000000\);_(* &quot;-&quot;??_);_(@_)"/>
    <numFmt numFmtId="166" formatCode="_(* #,##0.0_);_(* \(#,##0.0\);_(* &quot;-&quot;??_);_(@_)"/>
    <numFmt numFmtId="167" formatCode="0.0%"/>
    <numFmt numFmtId="168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rgb="FFFF33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33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651">
    <xf numFmtId="0" fontId="0" fillId="0" borderId="0" xfId="0"/>
    <xf numFmtId="164" fontId="0" fillId="0" borderId="0" xfId="1" applyNumberFormat="1" applyFont="1"/>
    <xf numFmtId="43" fontId="0" fillId="0" borderId="0" xfId="0" applyNumberFormat="1"/>
    <xf numFmtId="43" fontId="0" fillId="0" borderId="0" xfId="1" applyFont="1" applyFill="1" applyAlignment="1"/>
    <xf numFmtId="164" fontId="0" fillId="0" borderId="0" xfId="1" applyNumberFormat="1" applyFont="1" applyFill="1" applyAlignment="1"/>
    <xf numFmtId="0" fontId="0" fillId="2" borderId="0" xfId="0" applyFill="1"/>
    <xf numFmtId="0" fontId="3" fillId="0" borderId="0" xfId="0" applyFont="1" applyAlignment="1">
      <alignment horizontal="center"/>
    </xf>
    <xf numFmtId="164" fontId="0" fillId="0" borderId="0" xfId="0" applyNumberFormat="1"/>
    <xf numFmtId="9" fontId="0" fillId="0" borderId="0" xfId="2" applyFont="1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0" fontId="3" fillId="0" borderId="10" xfId="0" applyFont="1" applyBorder="1" applyAlignment="1">
      <alignment horizontal="center" vertical="center"/>
    </xf>
    <xf numFmtId="0" fontId="3" fillId="0" borderId="0" xfId="0" applyFont="1"/>
    <xf numFmtId="0" fontId="3" fillId="3" borderId="9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0" fillId="14" borderId="20" xfId="1" applyNumberFormat="1" applyFont="1" applyFill="1" applyBorder="1" applyAlignment="1">
      <alignment horizontal="center" vertical="center" wrapText="1"/>
    </xf>
    <xf numFmtId="164" fontId="0" fillId="11" borderId="12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14" borderId="31" xfId="1" applyNumberFormat="1" applyFont="1" applyFill="1" applyBorder="1" applyAlignment="1">
      <alignment horizontal="center" vertical="center" wrapText="1"/>
    </xf>
    <xf numFmtId="164" fontId="0" fillId="11" borderId="19" xfId="1" applyNumberFormat="1" applyFont="1" applyFill="1" applyBorder="1" applyAlignment="1">
      <alignment horizontal="center" vertical="center" wrapText="1"/>
    </xf>
    <xf numFmtId="0" fontId="3" fillId="18" borderId="1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164" fontId="6" fillId="0" borderId="14" xfId="1" applyNumberFormat="1" applyFont="1" applyFill="1" applyBorder="1" applyAlignment="1">
      <alignment vertical="center"/>
    </xf>
    <xf numFmtId="43" fontId="6" fillId="0" borderId="14" xfId="1" applyFont="1" applyFill="1" applyBorder="1" applyAlignment="1">
      <alignment vertical="center"/>
    </xf>
    <xf numFmtId="164" fontId="6" fillId="0" borderId="37" xfId="1" applyNumberFormat="1" applyFont="1" applyFill="1" applyBorder="1" applyAlignment="1">
      <alignment vertical="center"/>
    </xf>
    <xf numFmtId="9" fontId="6" fillId="0" borderId="18" xfId="2" applyFont="1" applyFill="1" applyBorder="1" applyAlignment="1">
      <alignment vertical="center"/>
    </xf>
    <xf numFmtId="43" fontId="0" fillId="0" borderId="33" xfId="1" applyFont="1" applyFill="1" applyBorder="1" applyAlignment="1">
      <alignment vertical="center"/>
    </xf>
    <xf numFmtId="164" fontId="0" fillId="0" borderId="18" xfId="1" applyNumberFormat="1" applyFont="1" applyFill="1" applyBorder="1" applyAlignment="1">
      <alignment vertical="center"/>
    </xf>
    <xf numFmtId="164" fontId="0" fillId="0" borderId="11" xfId="1" applyNumberFormat="1" applyFont="1" applyFill="1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43" fontId="0" fillId="0" borderId="12" xfId="1" applyFont="1" applyFill="1" applyBorder="1" applyAlignment="1">
      <alignment vertical="center"/>
    </xf>
    <xf numFmtId="9" fontId="0" fillId="0" borderId="12" xfId="0" applyNumberFormat="1" applyBorder="1" applyAlignment="1">
      <alignment vertical="center"/>
    </xf>
    <xf numFmtId="43" fontId="0" fillId="0" borderId="12" xfId="0" applyNumberFormat="1" applyBorder="1" applyAlignment="1">
      <alignment vertical="center"/>
    </xf>
    <xf numFmtId="164" fontId="0" fillId="0" borderId="12" xfId="1" applyNumberFormat="1" applyFont="1" applyFill="1" applyBorder="1" applyAlignment="1">
      <alignment vertical="center"/>
    </xf>
    <xf numFmtId="164" fontId="2" fillId="0" borderId="12" xfId="1" applyNumberFormat="1" applyFont="1" applyFill="1" applyBorder="1" applyAlignment="1">
      <alignment vertical="center"/>
    </xf>
    <xf numFmtId="164" fontId="6" fillId="0" borderId="12" xfId="1" applyNumberFormat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43" fontId="0" fillId="0" borderId="0" xfId="2" applyNumberFormat="1" applyFont="1" applyFill="1" applyAlignment="1">
      <alignment vertical="center"/>
    </xf>
    <xf numFmtId="9" fontId="0" fillId="0" borderId="0" xfId="2" applyFont="1" applyFill="1" applyAlignment="1">
      <alignment vertical="center"/>
    </xf>
    <xf numFmtId="9" fontId="3" fillId="14" borderId="22" xfId="0" applyNumberFormat="1" applyFont="1" applyFill="1" applyBorder="1" applyAlignment="1">
      <alignment vertical="center"/>
    </xf>
    <xf numFmtId="0" fontId="0" fillId="0" borderId="22" xfId="0" applyBorder="1" applyAlignment="1">
      <alignment vertical="center"/>
    </xf>
    <xf numFmtId="164" fontId="6" fillId="0" borderId="41" xfId="1" applyNumberFormat="1" applyFont="1" applyFill="1" applyBorder="1" applyAlignment="1">
      <alignment vertical="center"/>
    </xf>
    <xf numFmtId="164" fontId="6" fillId="0" borderId="40" xfId="1" applyNumberFormat="1" applyFont="1" applyFill="1" applyBorder="1" applyAlignment="1">
      <alignment vertical="center"/>
    </xf>
    <xf numFmtId="43" fontId="6" fillId="0" borderId="40" xfId="1" applyFont="1" applyFill="1" applyBorder="1" applyAlignment="1">
      <alignment vertical="center"/>
    </xf>
    <xf numFmtId="164" fontId="6" fillId="0" borderId="42" xfId="1" applyNumberFormat="1" applyFont="1" applyFill="1" applyBorder="1" applyAlignment="1">
      <alignment vertical="center"/>
    </xf>
    <xf numFmtId="9" fontId="2" fillId="0" borderId="18" xfId="2" applyFont="1" applyFill="1" applyBorder="1" applyAlignment="1">
      <alignment vertical="center"/>
    </xf>
    <xf numFmtId="43" fontId="0" fillId="0" borderId="40" xfId="1" applyFont="1" applyFill="1" applyBorder="1" applyAlignment="1">
      <alignment vertical="center"/>
    </xf>
    <xf numFmtId="164" fontId="0" fillId="0" borderId="40" xfId="1" applyNumberFormat="1" applyFont="1" applyFill="1" applyBorder="1" applyAlignment="1">
      <alignment vertical="center"/>
    </xf>
    <xf numFmtId="43" fontId="0" fillId="0" borderId="18" xfId="1" applyFont="1" applyFill="1" applyBorder="1" applyAlignment="1">
      <alignment vertical="center"/>
    </xf>
    <xf numFmtId="0" fontId="0" fillId="0" borderId="18" xfId="0" applyBorder="1" applyAlignment="1">
      <alignment vertical="center"/>
    </xf>
    <xf numFmtId="9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64" fontId="0" fillId="0" borderId="0" xfId="1" applyNumberFormat="1" applyFont="1" applyFill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18" xfId="1" applyNumberFormat="1" applyFont="1" applyFill="1" applyBorder="1" applyAlignment="1">
      <alignment vertical="center"/>
    </xf>
    <xf numFmtId="164" fontId="2" fillId="0" borderId="0" xfId="1" applyNumberFormat="1" applyFont="1" applyFill="1" applyAlignment="1">
      <alignment vertical="center"/>
    </xf>
    <xf numFmtId="164" fontId="1" fillId="0" borderId="40" xfId="1" applyNumberFormat="1" applyFont="1" applyFill="1" applyBorder="1" applyAlignment="1">
      <alignment vertical="center"/>
    </xf>
    <xf numFmtId="0" fontId="0" fillId="0" borderId="38" xfId="0" applyBorder="1" applyAlignment="1">
      <alignment vertical="center"/>
    </xf>
    <xf numFmtId="164" fontId="6" fillId="0" borderId="18" xfId="1" applyNumberFormat="1" applyFont="1" applyFill="1" applyBorder="1" applyAlignment="1">
      <alignment vertical="center"/>
    </xf>
    <xf numFmtId="0" fontId="0" fillId="0" borderId="18" xfId="0" applyBorder="1" applyAlignment="1">
      <alignment horizontal="left" vertical="center" wrapText="1"/>
    </xf>
    <xf numFmtId="164" fontId="0" fillId="0" borderId="0" xfId="0" applyNumberFormat="1" applyAlignment="1">
      <alignment vertical="center"/>
    </xf>
    <xf numFmtId="164" fontId="6" fillId="0" borderId="45" xfId="1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35" xfId="0" applyFill="1" applyBorder="1" applyAlignment="1">
      <alignment vertical="center"/>
    </xf>
    <xf numFmtId="164" fontId="3" fillId="3" borderId="27" xfId="1" applyNumberFormat="1" applyFont="1" applyFill="1" applyBorder="1" applyAlignment="1">
      <alignment vertical="center"/>
    </xf>
    <xf numFmtId="9" fontId="3" fillId="0" borderId="11" xfId="2" applyFont="1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164" fontId="0" fillId="3" borderId="28" xfId="1" applyNumberFormat="1" applyFont="1" applyFill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164" fontId="1" fillId="0" borderId="12" xfId="1" applyNumberFormat="1" applyFont="1" applyFill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9" fillId="0" borderId="12" xfId="0" applyFont="1" applyBorder="1" applyAlignment="1">
      <alignment vertical="center"/>
    </xf>
    <xf numFmtId="0" fontId="3" fillId="19" borderId="12" xfId="0" applyFont="1" applyFill="1" applyBorder="1" applyAlignment="1">
      <alignment vertical="center"/>
    </xf>
    <xf numFmtId="9" fontId="3" fillId="19" borderId="22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164" fontId="6" fillId="0" borderId="11" xfId="1" applyNumberFormat="1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9" fontId="6" fillId="0" borderId="12" xfId="0" applyNumberFormat="1" applyFont="1" applyBorder="1" applyAlignment="1">
      <alignment vertical="center"/>
    </xf>
    <xf numFmtId="43" fontId="6" fillId="0" borderId="12" xfId="0" applyNumberFormat="1" applyFont="1" applyBorder="1" applyAlignment="1">
      <alignment vertical="center"/>
    </xf>
    <xf numFmtId="9" fontId="6" fillId="0" borderId="21" xfId="2" applyFont="1" applyFill="1" applyBorder="1" applyAlignment="1">
      <alignment vertical="center"/>
    </xf>
    <xf numFmtId="43" fontId="6" fillId="0" borderId="18" xfId="1" applyFont="1" applyFill="1" applyBorder="1" applyAlignment="1">
      <alignment vertical="center"/>
    </xf>
    <xf numFmtId="43" fontId="0" fillId="0" borderId="40" xfId="0" applyNumberFormat="1" applyBorder="1" applyAlignment="1">
      <alignment vertical="center"/>
    </xf>
    <xf numFmtId="43" fontId="6" fillId="0" borderId="0" xfId="0" applyNumberFormat="1" applyFont="1" applyAlignment="1">
      <alignment vertical="center"/>
    </xf>
    <xf numFmtId="0" fontId="3" fillId="14" borderId="22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43" fontId="0" fillId="0" borderId="18" xfId="0" applyNumberForma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164" fontId="0" fillId="0" borderId="40" xfId="0" applyNumberFormat="1" applyBorder="1" applyAlignment="1">
      <alignment vertical="center"/>
    </xf>
    <xf numFmtId="43" fontId="0" fillId="0" borderId="18" xfId="0" applyNumberForma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5" xfId="0" applyFont="1" applyBorder="1" applyAlignment="1">
      <alignment vertical="center"/>
    </xf>
    <xf numFmtId="164" fontId="5" fillId="0" borderId="42" xfId="1" applyNumberFormat="1" applyFont="1" applyFill="1" applyBorder="1" applyAlignment="1">
      <alignment vertical="center"/>
    </xf>
    <xf numFmtId="9" fontId="5" fillId="0" borderId="18" xfId="2" applyFont="1" applyFill="1" applyBorder="1" applyAlignment="1">
      <alignment vertical="center"/>
    </xf>
    <xf numFmtId="43" fontId="3" fillId="0" borderId="40" xfId="0" applyNumberFormat="1" applyFont="1" applyBorder="1" applyAlignment="1">
      <alignment vertical="center"/>
    </xf>
    <xf numFmtId="164" fontId="3" fillId="0" borderId="40" xfId="0" applyNumberFormat="1" applyFont="1" applyBorder="1" applyAlignment="1">
      <alignment vertical="center"/>
    </xf>
    <xf numFmtId="164" fontId="3" fillId="0" borderId="18" xfId="1" applyNumberFormat="1" applyFont="1" applyFill="1" applyBorder="1" applyAlignment="1">
      <alignment vertical="center"/>
    </xf>
    <xf numFmtId="43" fontId="3" fillId="0" borderId="0" xfId="0" applyNumberFormat="1" applyFont="1" applyAlignment="1">
      <alignment vertical="center"/>
    </xf>
    <xf numFmtId="43" fontId="3" fillId="0" borderId="18" xfId="0" applyNumberFormat="1" applyFont="1" applyBorder="1" applyAlignment="1">
      <alignment horizontal="left" vertical="center"/>
    </xf>
    <xf numFmtId="9" fontId="3" fillId="0" borderId="0" xfId="2" applyFont="1" applyFill="1" applyAlignment="1">
      <alignment vertical="center"/>
    </xf>
    <xf numFmtId="0" fontId="0" fillId="0" borderId="0" xfId="0" quotePrefix="1" applyAlignment="1">
      <alignment vertical="center"/>
    </xf>
    <xf numFmtId="167" fontId="0" fillId="0" borderId="0" xfId="2" applyNumberFormat="1" applyFont="1" applyFill="1" applyAlignment="1">
      <alignment vertical="center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35" xfId="0" applyFont="1" applyFill="1" applyBorder="1" applyAlignment="1">
      <alignment vertical="center"/>
    </xf>
    <xf numFmtId="164" fontId="5" fillId="3" borderId="45" xfId="1" applyNumberFormat="1" applyFont="1" applyFill="1" applyBorder="1" applyAlignment="1">
      <alignment vertical="center"/>
    </xf>
    <xf numFmtId="9" fontId="5" fillId="0" borderId="11" xfId="2" applyFont="1" applyFill="1" applyBorder="1" applyAlignment="1">
      <alignment vertical="center"/>
    </xf>
    <xf numFmtId="0" fontId="6" fillId="3" borderId="28" xfId="0" applyFont="1" applyFill="1" applyBorder="1" applyAlignment="1">
      <alignment vertical="center"/>
    </xf>
    <xf numFmtId="164" fontId="6" fillId="3" borderId="28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19" borderId="12" xfId="0" applyFont="1" applyFill="1" applyBorder="1" applyAlignment="1">
      <alignment vertical="center"/>
    </xf>
    <xf numFmtId="9" fontId="5" fillId="19" borderId="22" xfId="0" applyNumberFormat="1" applyFont="1" applyFill="1" applyBorder="1" applyAlignment="1">
      <alignment vertical="center"/>
    </xf>
    <xf numFmtId="164" fontId="6" fillId="0" borderId="36" xfId="1" applyNumberFormat="1" applyFont="1" applyFill="1" applyBorder="1" applyAlignment="1">
      <alignment vertical="center"/>
    </xf>
    <xf numFmtId="43" fontId="6" fillId="0" borderId="40" xfId="0" applyNumberFormat="1" applyFont="1" applyBorder="1" applyAlignment="1">
      <alignment vertical="center"/>
    </xf>
    <xf numFmtId="43" fontId="6" fillId="0" borderId="14" xfId="0" applyNumberFormat="1" applyFont="1" applyBorder="1" applyAlignment="1">
      <alignment vertical="center"/>
    </xf>
    <xf numFmtId="164" fontId="6" fillId="0" borderId="43" xfId="0" applyNumberFormat="1" applyFont="1" applyBorder="1" applyAlignment="1">
      <alignment vertical="center"/>
    </xf>
    <xf numFmtId="164" fontId="6" fillId="0" borderId="11" xfId="0" applyNumberFormat="1" applyFont="1" applyBorder="1" applyAlignment="1">
      <alignment vertical="center"/>
    </xf>
    <xf numFmtId="43" fontId="6" fillId="0" borderId="18" xfId="0" applyNumberFormat="1" applyFont="1" applyBorder="1" applyAlignment="1">
      <alignment vertical="center"/>
    </xf>
    <xf numFmtId="43" fontId="6" fillId="0" borderId="11" xfId="0" applyNumberFormat="1" applyFont="1" applyBorder="1" applyAlignment="1">
      <alignment vertical="center"/>
    </xf>
    <xf numFmtId="9" fontId="6" fillId="0" borderId="0" xfId="0" applyNumberFormat="1" applyFont="1" applyAlignment="1">
      <alignment vertical="center"/>
    </xf>
    <xf numFmtId="164" fontId="6" fillId="0" borderId="0" xfId="1" applyNumberFormat="1" applyFont="1" applyFill="1" applyAlignment="1">
      <alignment vertical="center"/>
    </xf>
    <xf numFmtId="164" fontId="6" fillId="0" borderId="22" xfId="1" applyNumberFormat="1" applyFont="1" applyFill="1" applyBorder="1" applyAlignment="1">
      <alignment vertical="center"/>
    </xf>
    <xf numFmtId="43" fontId="0" fillId="0" borderId="18" xfId="0" applyNumberFormat="1" applyBorder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164" fontId="4" fillId="0" borderId="43" xfId="0" applyNumberFormat="1" applyFont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5" fillId="0" borderId="22" xfId="1" applyNumberFormat="1" applyFont="1" applyFill="1" applyBorder="1" applyAlignment="1">
      <alignment vertical="center"/>
    </xf>
    <xf numFmtId="164" fontId="3" fillId="0" borderId="43" xfId="0" applyNumberFormat="1" applyFont="1" applyBorder="1" applyAlignment="1">
      <alignment vertical="center"/>
    </xf>
    <xf numFmtId="43" fontId="3" fillId="0" borderId="18" xfId="0" applyNumberFormat="1" applyFont="1" applyBorder="1" applyAlignment="1">
      <alignment vertical="center"/>
    </xf>
    <xf numFmtId="164" fontId="13" fillId="0" borderId="18" xfId="1" applyNumberFormat="1" applyFont="1" applyFill="1" applyBorder="1" applyAlignment="1">
      <alignment vertical="center"/>
    </xf>
    <xf numFmtId="164" fontId="0" fillId="0" borderId="43" xfId="0" applyNumberFormat="1" applyBorder="1" applyAlignment="1">
      <alignment vertical="center"/>
    </xf>
    <xf numFmtId="164" fontId="6" fillId="0" borderId="38" xfId="1" applyNumberFormat="1" applyFont="1" applyFill="1" applyBorder="1" applyAlignment="1">
      <alignment vertical="center"/>
    </xf>
    <xf numFmtId="43" fontId="0" fillId="0" borderId="43" xfId="0" applyNumberFormat="1" applyBorder="1" applyAlignment="1">
      <alignment vertical="center"/>
    </xf>
    <xf numFmtId="164" fontId="5" fillId="0" borderId="46" xfId="1" applyNumberFormat="1" applyFont="1" applyFill="1" applyBorder="1" applyAlignment="1">
      <alignment vertical="center"/>
    </xf>
    <xf numFmtId="164" fontId="5" fillId="0" borderId="47" xfId="1" applyNumberFormat="1" applyFont="1" applyFill="1" applyBorder="1" applyAlignment="1">
      <alignment vertical="center"/>
    </xf>
    <xf numFmtId="43" fontId="3" fillId="0" borderId="26" xfId="0" applyNumberFormat="1" applyFont="1" applyBorder="1" applyAlignment="1">
      <alignment vertical="center"/>
    </xf>
    <xf numFmtId="164" fontId="3" fillId="0" borderId="26" xfId="0" applyNumberFormat="1" applyFont="1" applyBorder="1" applyAlignment="1">
      <alignment vertical="center"/>
    </xf>
    <xf numFmtId="43" fontId="3" fillId="0" borderId="24" xfId="0" applyNumberFormat="1" applyFont="1" applyBorder="1" applyAlignment="1">
      <alignment vertical="center" wrapText="1"/>
    </xf>
    <xf numFmtId="164" fontId="5" fillId="3" borderId="49" xfId="1" applyNumberFormat="1" applyFont="1" applyFill="1" applyBorder="1" applyAlignment="1">
      <alignment vertical="center"/>
    </xf>
    <xf numFmtId="9" fontId="3" fillId="0" borderId="18" xfId="2" applyFont="1" applyFill="1" applyBorder="1" applyAlignment="1">
      <alignment vertical="center"/>
    </xf>
    <xf numFmtId="164" fontId="6" fillId="0" borderId="39" xfId="1" applyNumberFormat="1" applyFont="1" applyFill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0" fillId="0" borderId="49" xfId="0" applyBorder="1" applyAlignment="1">
      <alignment horizontal="center" vertical="center"/>
    </xf>
    <xf numFmtId="9" fontId="1" fillId="0" borderId="18" xfId="2" applyFont="1" applyFill="1" applyBorder="1" applyAlignment="1">
      <alignment vertical="center"/>
    </xf>
    <xf numFmtId="164" fontId="0" fillId="0" borderId="18" xfId="0" applyNumberFormat="1" applyBorder="1" applyAlignment="1">
      <alignment vertical="center"/>
    </xf>
    <xf numFmtId="0" fontId="0" fillId="0" borderId="24" xfId="0" applyBorder="1" applyAlignment="1">
      <alignment vertical="center"/>
    </xf>
    <xf numFmtId="164" fontId="0" fillId="0" borderId="0" xfId="1" applyNumberFormat="1" applyFont="1" applyFill="1" applyAlignment="1">
      <alignment horizontal="right" vertical="center"/>
    </xf>
    <xf numFmtId="164" fontId="6" fillId="0" borderId="5" xfId="1" applyNumberFormat="1" applyFont="1" applyFill="1" applyBorder="1" applyAlignment="1">
      <alignment vertical="center"/>
    </xf>
    <xf numFmtId="164" fontId="6" fillId="0" borderId="17" xfId="1" applyNumberFormat="1" applyFont="1" applyFill="1" applyBorder="1" applyAlignment="1">
      <alignment vertical="center"/>
    </xf>
    <xf numFmtId="43" fontId="0" fillId="0" borderId="24" xfId="1" applyFont="1" applyFill="1" applyBorder="1" applyAlignment="1">
      <alignment vertical="center"/>
    </xf>
    <xf numFmtId="164" fontId="0" fillId="0" borderId="24" xfId="1" applyNumberFormat="1" applyFont="1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164" fontId="5" fillId="3" borderId="27" xfId="1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164" fontId="3" fillId="6" borderId="28" xfId="1" applyNumberFormat="1" applyFont="1" applyFill="1" applyBorder="1" applyAlignment="1">
      <alignment vertical="center"/>
    </xf>
    <xf numFmtId="164" fontId="5" fillId="6" borderId="51" xfId="1" applyNumberFormat="1" applyFont="1" applyFill="1" applyBorder="1" applyAlignment="1">
      <alignment vertical="center"/>
    </xf>
    <xf numFmtId="9" fontId="3" fillId="0" borderId="52" xfId="2" applyFont="1" applyFill="1" applyBorder="1" applyAlignment="1">
      <alignment vertical="center"/>
    </xf>
    <xf numFmtId="9" fontId="3" fillId="6" borderId="52" xfId="2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9" fontId="3" fillId="6" borderId="22" xfId="0" applyNumberFormat="1" applyFont="1" applyFill="1" applyBorder="1" applyAlignment="1">
      <alignment vertical="center"/>
    </xf>
    <xf numFmtId="164" fontId="5" fillId="6" borderId="0" xfId="1" applyNumberFormat="1" applyFont="1" applyFill="1" applyBorder="1" applyAlignment="1">
      <alignment vertical="center"/>
    </xf>
    <xf numFmtId="9" fontId="3" fillId="0" borderId="0" xfId="2" applyFont="1" applyFill="1" applyBorder="1" applyAlignment="1">
      <alignment vertical="center"/>
    </xf>
    <xf numFmtId="9" fontId="3" fillId="6" borderId="0" xfId="2" applyFont="1" applyFill="1" applyBorder="1" applyAlignment="1">
      <alignment vertical="center"/>
    </xf>
    <xf numFmtId="164" fontId="3" fillId="6" borderId="0" xfId="1" applyNumberFormat="1" applyFont="1" applyFill="1" applyBorder="1" applyAlignment="1">
      <alignment vertical="center"/>
    </xf>
    <xf numFmtId="9" fontId="3" fillId="6" borderId="47" xfId="0" applyNumberFormat="1" applyFont="1" applyFill="1" applyBorder="1" applyAlignment="1">
      <alignment vertical="center"/>
    </xf>
    <xf numFmtId="43" fontId="0" fillId="0" borderId="0" xfId="1" applyFont="1" applyFill="1" applyBorder="1"/>
    <xf numFmtId="43" fontId="0" fillId="0" borderId="0" xfId="1" applyFont="1" applyBorder="1"/>
    <xf numFmtId="43" fontId="0" fillId="0" borderId="0" xfId="1" applyFont="1"/>
    <xf numFmtId="164" fontId="1" fillId="0" borderId="12" xfId="1" applyNumberFormat="1" applyFont="1" applyFill="1" applyBorder="1" applyAlignment="1">
      <alignment horizontal="center" vertical="center"/>
    </xf>
    <xf numFmtId="9" fontId="12" fillId="0" borderId="12" xfId="2" applyFont="1" applyFill="1" applyBorder="1" applyAlignment="1">
      <alignment horizontal="center" vertical="center"/>
    </xf>
    <xf numFmtId="43" fontId="6" fillId="0" borderId="12" xfId="1" applyFont="1" applyFill="1" applyBorder="1" applyAlignment="1">
      <alignment vertical="center"/>
    </xf>
    <xf numFmtId="43" fontId="6" fillId="0" borderId="12" xfId="1" applyFont="1" applyFill="1" applyBorder="1" applyAlignment="1">
      <alignment horizontal="center" vertical="center"/>
    </xf>
    <xf numFmtId="164" fontId="6" fillId="0" borderId="12" xfId="1" applyNumberFormat="1" applyFont="1" applyFill="1" applyBorder="1" applyAlignment="1">
      <alignment horizontal="center" vertical="center"/>
    </xf>
    <xf numFmtId="0" fontId="6" fillId="0" borderId="12" xfId="0" applyFont="1" applyBorder="1"/>
    <xf numFmtId="43" fontId="6" fillId="0" borderId="12" xfId="1" applyFont="1" applyFill="1" applyBorder="1"/>
    <xf numFmtId="0" fontId="6" fillId="0" borderId="21" xfId="0" applyFont="1" applyBorder="1"/>
    <xf numFmtId="0" fontId="0" fillId="0" borderId="12" xfId="0" applyBorder="1"/>
    <xf numFmtId="43" fontId="0" fillId="0" borderId="0" xfId="1" applyFont="1" applyFill="1"/>
    <xf numFmtId="164" fontId="0" fillId="0" borderId="0" xfId="1" applyNumberFormat="1" applyFont="1" applyFill="1"/>
    <xf numFmtId="43" fontId="11" fillId="0" borderId="0" xfId="3" applyFont="1" applyFill="1" applyBorder="1" applyAlignment="1">
      <alignment vertical="center"/>
    </xf>
    <xf numFmtId="0" fontId="0" fillId="0" borderId="55" xfId="0" applyBorder="1"/>
    <xf numFmtId="0" fontId="0" fillId="20" borderId="0" xfId="0" applyFill="1"/>
    <xf numFmtId="9" fontId="3" fillId="0" borderId="22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9" fontId="5" fillId="0" borderId="22" xfId="0" applyNumberFormat="1" applyFont="1" applyBorder="1" applyAlignment="1">
      <alignment vertical="center"/>
    </xf>
    <xf numFmtId="0" fontId="0" fillId="0" borderId="33" xfId="0" applyBorder="1" applyAlignment="1">
      <alignment horizontal="center" vertical="center"/>
    </xf>
    <xf numFmtId="164" fontId="3" fillId="0" borderId="22" xfId="0" applyNumberFormat="1" applyFont="1" applyBorder="1" applyAlignment="1">
      <alignment vertical="center"/>
    </xf>
    <xf numFmtId="10" fontId="0" fillId="0" borderId="0" xfId="2" applyNumberFormat="1" applyFont="1" applyFill="1" applyAlignment="1">
      <alignment vertical="center"/>
    </xf>
    <xf numFmtId="9" fontId="13" fillId="0" borderId="22" xfId="0" applyNumberFormat="1" applyFont="1" applyBorder="1" applyAlignment="1">
      <alignment vertical="center"/>
    </xf>
    <xf numFmtId="0" fontId="0" fillId="22" borderId="0" xfId="0" applyFill="1" applyAlignment="1">
      <alignment vertical="center"/>
    </xf>
    <xf numFmtId="0" fontId="0" fillId="22" borderId="12" xfId="0" applyFill="1" applyBorder="1" applyAlignment="1">
      <alignment vertical="center"/>
    </xf>
    <xf numFmtId="0" fontId="0" fillId="22" borderId="35" xfId="0" applyFill="1" applyBorder="1" applyAlignment="1">
      <alignment vertical="center"/>
    </xf>
    <xf numFmtId="43" fontId="0" fillId="22" borderId="40" xfId="0" applyNumberFormat="1" applyFill="1" applyBorder="1" applyAlignment="1">
      <alignment vertical="center"/>
    </xf>
    <xf numFmtId="164" fontId="0" fillId="22" borderId="18" xfId="1" applyNumberFormat="1" applyFont="1" applyFill="1" applyBorder="1" applyAlignment="1">
      <alignment vertical="center"/>
    </xf>
    <xf numFmtId="43" fontId="6" fillId="22" borderId="0" xfId="0" applyNumberFormat="1" applyFont="1" applyFill="1" applyAlignment="1">
      <alignment vertical="center"/>
    </xf>
    <xf numFmtId="164" fontId="0" fillId="22" borderId="0" xfId="1" applyNumberFormat="1" applyFont="1" applyFill="1" applyAlignment="1">
      <alignment vertical="center"/>
    </xf>
    <xf numFmtId="164" fontId="1" fillId="22" borderId="0" xfId="1" applyNumberFormat="1" applyFont="1" applyFill="1" applyAlignment="1">
      <alignment vertical="center"/>
    </xf>
    <xf numFmtId="164" fontId="6" fillId="22" borderId="42" xfId="1" applyNumberFormat="1" applyFont="1" applyFill="1" applyBorder="1" applyAlignment="1">
      <alignment vertical="center"/>
    </xf>
    <xf numFmtId="164" fontId="6" fillId="22" borderId="22" xfId="1" applyNumberFormat="1" applyFont="1" applyFill="1" applyBorder="1" applyAlignment="1">
      <alignment vertical="center"/>
    </xf>
    <xf numFmtId="43" fontId="6" fillId="22" borderId="18" xfId="1" applyFont="1" applyFill="1" applyBorder="1" applyAlignment="1">
      <alignment vertical="center"/>
    </xf>
    <xf numFmtId="43" fontId="0" fillId="22" borderId="18" xfId="0" applyNumberFormat="1" applyFill="1" applyBorder="1" applyAlignment="1">
      <alignment vertical="center"/>
    </xf>
    <xf numFmtId="43" fontId="0" fillId="22" borderId="0" xfId="0" applyNumberFormat="1" applyFill="1" applyAlignment="1">
      <alignment vertical="center"/>
    </xf>
    <xf numFmtId="9" fontId="6" fillId="22" borderId="0" xfId="0" applyNumberFormat="1" applyFont="1" applyFill="1" applyAlignment="1">
      <alignment vertical="center"/>
    </xf>
    <xf numFmtId="0" fontId="3" fillId="22" borderId="22" xfId="0" applyFont="1" applyFill="1" applyBorder="1" applyAlignment="1">
      <alignment vertical="center"/>
    </xf>
    <xf numFmtId="164" fontId="3" fillId="3" borderId="29" xfId="1" applyNumberFormat="1" applyFont="1" applyFill="1" applyBorder="1" applyAlignment="1">
      <alignment vertical="center"/>
    </xf>
    <xf numFmtId="164" fontId="5" fillId="0" borderId="38" xfId="1" applyNumberFormat="1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 applyAlignment="1">
      <alignment vertical="center"/>
    </xf>
    <xf numFmtId="43" fontId="0" fillId="0" borderId="26" xfId="1" applyFont="1" applyFill="1" applyBorder="1" applyAlignment="1">
      <alignment vertical="center"/>
    </xf>
    <xf numFmtId="164" fontId="0" fillId="0" borderId="26" xfId="1" applyNumberFormat="1" applyFont="1" applyFill="1" applyBorder="1" applyAlignment="1">
      <alignment vertical="center"/>
    </xf>
    <xf numFmtId="164" fontId="6" fillId="0" borderId="47" xfId="1" applyNumberFormat="1" applyFont="1" applyFill="1" applyBorder="1" applyAlignment="1">
      <alignment vertical="center"/>
    </xf>
    <xf numFmtId="164" fontId="6" fillId="0" borderId="46" xfId="1" applyNumberFormat="1" applyFont="1" applyFill="1" applyBorder="1" applyAlignment="1">
      <alignment vertical="center"/>
    </xf>
    <xf numFmtId="43" fontId="3" fillId="0" borderId="22" xfId="0" applyNumberFormat="1" applyFont="1" applyBorder="1" applyAlignment="1">
      <alignment vertical="center"/>
    </xf>
    <xf numFmtId="164" fontId="3" fillId="0" borderId="21" xfId="1" applyNumberFormat="1" applyFont="1" applyFill="1" applyBorder="1" applyAlignment="1">
      <alignment vertical="center"/>
    </xf>
    <xf numFmtId="164" fontId="3" fillId="19" borderId="21" xfId="1" applyNumberFormat="1" applyFont="1" applyFill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5" fillId="19" borderId="21" xfId="0" applyFont="1" applyFill="1" applyBorder="1" applyAlignment="1">
      <alignment vertical="center"/>
    </xf>
    <xf numFmtId="0" fontId="3" fillId="22" borderId="21" xfId="0" applyFont="1" applyFill="1" applyBorder="1" applyAlignment="1">
      <alignment vertical="center"/>
    </xf>
    <xf numFmtId="0" fontId="3" fillId="19" borderId="21" xfId="0" applyFont="1" applyFill="1" applyBorder="1" applyAlignment="1">
      <alignment vertical="center"/>
    </xf>
    <xf numFmtId="9" fontId="0" fillId="0" borderId="12" xfId="2" applyFont="1" applyFill="1" applyBorder="1" applyAlignment="1">
      <alignment vertical="center"/>
    </xf>
    <xf numFmtId="164" fontId="0" fillId="0" borderId="12" xfId="0" applyNumberFormat="1" applyBorder="1" applyAlignment="1">
      <alignment vertical="center"/>
    </xf>
    <xf numFmtId="43" fontId="0" fillId="0" borderId="34" xfId="0" applyNumberFormat="1" applyBorder="1" applyAlignment="1">
      <alignment vertical="center"/>
    </xf>
    <xf numFmtId="43" fontId="0" fillId="4" borderId="12" xfId="0" applyNumberFormat="1" applyFill="1" applyBorder="1" applyAlignment="1">
      <alignment vertical="center"/>
    </xf>
    <xf numFmtId="9" fontId="0" fillId="4" borderId="12" xfId="2" applyFont="1" applyFill="1" applyBorder="1" applyAlignment="1">
      <alignment vertical="center"/>
    </xf>
    <xf numFmtId="164" fontId="0" fillId="4" borderId="12" xfId="0" applyNumberFormat="1" applyFill="1" applyBorder="1" applyAlignment="1">
      <alignment vertical="center"/>
    </xf>
    <xf numFmtId="9" fontId="0" fillId="0" borderId="34" xfId="2" applyFont="1" applyFill="1" applyBorder="1" applyAlignment="1">
      <alignment vertical="center"/>
    </xf>
    <xf numFmtId="164" fontId="0" fillId="0" borderId="34" xfId="0" applyNumberFormat="1" applyBorder="1" applyAlignment="1">
      <alignment vertical="center"/>
    </xf>
    <xf numFmtId="43" fontId="0" fillId="23" borderId="12" xfId="0" applyNumberFormat="1" applyFill="1" applyBorder="1" applyAlignment="1">
      <alignment vertical="center"/>
    </xf>
    <xf numFmtId="9" fontId="0" fillId="23" borderId="12" xfId="2" applyFont="1" applyFill="1" applyBorder="1" applyAlignment="1">
      <alignment vertical="center"/>
    </xf>
    <xf numFmtId="43" fontId="0" fillId="0" borderId="0" xfId="1" applyFont="1" applyFill="1" applyAlignment="1">
      <alignment vertical="center"/>
    </xf>
    <xf numFmtId="0" fontId="3" fillId="0" borderId="56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5" fillId="0" borderId="39" xfId="1" applyNumberFormat="1" applyFont="1" applyFill="1" applyBorder="1" applyAlignment="1">
      <alignment vertical="center"/>
    </xf>
    <xf numFmtId="164" fontId="5" fillId="0" borderId="41" xfId="1" applyNumberFormat="1" applyFont="1" applyFill="1" applyBorder="1" applyAlignment="1">
      <alignment vertical="center"/>
    </xf>
    <xf numFmtId="164" fontId="3" fillId="0" borderId="40" xfId="1" applyNumberFormat="1" applyFont="1" applyFill="1" applyBorder="1" applyAlignment="1">
      <alignment vertical="center"/>
    </xf>
    <xf numFmtId="0" fontId="3" fillId="0" borderId="18" xfId="0" applyFont="1" applyBorder="1" applyAlignment="1">
      <alignment vertical="center"/>
    </xf>
    <xf numFmtId="9" fontId="1" fillId="0" borderId="12" xfId="2" applyFont="1" applyFill="1" applyBorder="1" applyAlignment="1">
      <alignment vertical="center"/>
    </xf>
    <xf numFmtId="164" fontId="1" fillId="0" borderId="47" xfId="1" applyNumberFormat="1" applyFont="1" applyFill="1" applyBorder="1" applyAlignment="1">
      <alignment vertical="center"/>
    </xf>
    <xf numFmtId="164" fontId="1" fillId="0" borderId="46" xfId="1" applyNumberFormat="1" applyFont="1" applyFill="1" applyBorder="1" applyAlignment="1">
      <alignment vertical="center"/>
    </xf>
    <xf numFmtId="43" fontId="1" fillId="0" borderId="40" xfId="0" applyNumberFormat="1" applyFont="1" applyBorder="1" applyAlignment="1">
      <alignment vertical="center"/>
    </xf>
    <xf numFmtId="164" fontId="1" fillId="0" borderId="4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4" xfId="0" applyFont="1" applyBorder="1" applyAlignment="1">
      <alignment horizontal="left" vertical="center"/>
    </xf>
    <xf numFmtId="43" fontId="1" fillId="0" borderId="0" xfId="0" applyNumberFormat="1" applyFont="1" applyAlignment="1">
      <alignment vertical="center"/>
    </xf>
    <xf numFmtId="0" fontId="1" fillId="0" borderId="12" xfId="0" applyFont="1" applyBorder="1" applyAlignment="1">
      <alignment vertical="center"/>
    </xf>
    <xf numFmtId="43" fontId="1" fillId="0" borderId="12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0" fillId="24" borderId="0" xfId="0" applyFill="1"/>
    <xf numFmtId="0" fontId="14" fillId="0" borderId="0" xfId="0" applyFont="1"/>
    <xf numFmtId="43" fontId="14" fillId="0" borderId="0" xfId="0" applyNumberFormat="1" applyFont="1"/>
    <xf numFmtId="0" fontId="15" fillId="2" borderId="0" xfId="0" applyFont="1" applyFill="1" applyAlignment="1">
      <alignment wrapText="1"/>
    </xf>
    <xf numFmtId="0" fontId="15" fillId="2" borderId="1" xfId="0" applyFont="1" applyFill="1" applyBorder="1" applyAlignment="1">
      <alignment wrapText="1"/>
    </xf>
    <xf numFmtId="0" fontId="15" fillId="2" borderId="5" xfId="0" applyFont="1" applyFill="1" applyBorder="1" applyAlignment="1">
      <alignment wrapText="1"/>
    </xf>
    <xf numFmtId="0" fontId="15" fillId="2" borderId="6" xfId="0" applyFont="1" applyFill="1" applyBorder="1" applyAlignment="1">
      <alignment wrapText="1"/>
    </xf>
    <xf numFmtId="0" fontId="16" fillId="9" borderId="28" xfId="0" applyFont="1" applyFill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43" fontId="16" fillId="15" borderId="28" xfId="1" applyFont="1" applyFill="1" applyBorder="1" applyAlignment="1">
      <alignment horizontal="center" vertical="center" wrapText="1"/>
    </xf>
    <xf numFmtId="43" fontId="16" fillId="15" borderId="29" xfId="1" applyFont="1" applyFill="1" applyBorder="1" applyAlignment="1">
      <alignment horizontal="center" vertical="center" wrapText="1"/>
    </xf>
    <xf numFmtId="0" fontId="16" fillId="16" borderId="28" xfId="0" applyFont="1" applyFill="1" applyBorder="1" applyAlignment="1">
      <alignment horizontal="center" vertical="center"/>
    </xf>
    <xf numFmtId="43" fontId="16" fillId="16" borderId="30" xfId="1" applyFont="1" applyFill="1" applyBorder="1" applyAlignment="1">
      <alignment horizontal="center" vertical="center" wrapText="1"/>
    </xf>
    <xf numFmtId="0" fontId="16" fillId="14" borderId="27" xfId="0" applyFont="1" applyFill="1" applyBorder="1" applyAlignment="1">
      <alignment horizontal="center" vertical="center"/>
    </xf>
    <xf numFmtId="43" fontId="16" fillId="14" borderId="27" xfId="1" applyFont="1" applyFill="1" applyBorder="1" applyAlignment="1">
      <alignment horizontal="center" vertical="center" wrapText="1"/>
    </xf>
    <xf numFmtId="0" fontId="16" fillId="16" borderId="11" xfId="0" applyFont="1" applyFill="1" applyBorder="1" applyAlignment="1">
      <alignment horizontal="center" vertical="center"/>
    </xf>
    <xf numFmtId="0" fontId="16" fillId="16" borderId="13" xfId="0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horizontal="center" vertical="center"/>
    </xf>
    <xf numFmtId="0" fontId="16" fillId="17" borderId="11" xfId="0" applyFont="1" applyFill="1" applyBorder="1" applyAlignment="1">
      <alignment horizontal="center" vertical="center" wrapText="1"/>
    </xf>
    <xf numFmtId="43" fontId="16" fillId="16" borderId="28" xfId="1" applyFont="1" applyFill="1" applyBorder="1" applyAlignment="1">
      <alignment horizontal="center" vertical="center" wrapText="1"/>
    </xf>
    <xf numFmtId="43" fontId="16" fillId="14" borderId="28" xfId="1" applyFont="1" applyFill="1" applyBorder="1" applyAlignment="1">
      <alignment horizontal="center" vertical="center" wrapText="1"/>
    </xf>
    <xf numFmtId="0" fontId="16" fillId="16" borderId="28" xfId="0" applyFont="1" applyFill="1" applyBorder="1" applyAlignment="1">
      <alignment horizontal="center" vertical="center" wrapText="1"/>
    </xf>
    <xf numFmtId="0" fontId="16" fillId="17" borderId="28" xfId="0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/>
    </xf>
    <xf numFmtId="0" fontId="17" fillId="0" borderId="14" xfId="0" applyFont="1" applyBorder="1" applyAlignment="1">
      <alignment vertical="center"/>
    </xf>
    <xf numFmtId="164" fontId="17" fillId="0" borderId="14" xfId="1" applyNumberFormat="1" applyFont="1" applyFill="1" applyBorder="1" applyAlignment="1">
      <alignment vertical="center"/>
    </xf>
    <xf numFmtId="164" fontId="18" fillId="0" borderId="14" xfId="1" applyNumberFormat="1" applyFont="1" applyFill="1" applyBorder="1" applyAlignment="1">
      <alignment vertical="center"/>
    </xf>
    <xf numFmtId="43" fontId="18" fillId="0" borderId="22" xfId="1" applyFont="1" applyFill="1" applyBorder="1" applyAlignment="1">
      <alignment vertical="center"/>
    </xf>
    <xf numFmtId="43" fontId="18" fillId="0" borderId="14" xfId="1" applyFont="1" applyFill="1" applyBorder="1" applyAlignment="1">
      <alignment vertical="center"/>
    </xf>
    <xf numFmtId="43" fontId="18" fillId="0" borderId="36" xfId="1" applyFont="1" applyFill="1" applyBorder="1" applyAlignment="1">
      <alignment vertical="center"/>
    </xf>
    <xf numFmtId="43" fontId="19" fillId="0" borderId="11" xfId="1" applyFont="1" applyFill="1" applyBorder="1" applyAlignment="1">
      <alignment vertical="center"/>
    </xf>
    <xf numFmtId="43" fontId="18" fillId="0" borderId="13" xfId="1" applyFont="1" applyFill="1" applyBorder="1" applyAlignment="1">
      <alignment vertical="center"/>
    </xf>
    <xf numFmtId="43" fontId="19" fillId="0" borderId="14" xfId="1" applyFont="1" applyFill="1" applyBorder="1" applyAlignment="1">
      <alignment vertical="center"/>
    </xf>
    <xf numFmtId="9" fontId="18" fillId="0" borderId="36" xfId="2" applyFont="1" applyFill="1" applyBorder="1" applyAlignment="1">
      <alignment vertical="center"/>
    </xf>
    <xf numFmtId="9" fontId="19" fillId="0" borderId="14" xfId="2" applyFont="1" applyFill="1" applyBorder="1" applyAlignment="1">
      <alignment vertical="center"/>
    </xf>
    <xf numFmtId="164" fontId="18" fillId="0" borderId="36" xfId="1" applyNumberFormat="1" applyFont="1" applyFill="1" applyBorder="1" applyAlignment="1">
      <alignment vertical="center"/>
    </xf>
    <xf numFmtId="166" fontId="18" fillId="0" borderId="36" xfId="1" applyNumberFormat="1" applyFont="1" applyFill="1" applyBorder="1" applyAlignment="1">
      <alignment vertical="center"/>
    </xf>
    <xf numFmtId="43" fontId="18" fillId="0" borderId="39" xfId="1" applyFont="1" applyFill="1" applyBorder="1" applyAlignment="1">
      <alignment vertical="center"/>
    </xf>
    <xf numFmtId="9" fontId="18" fillId="0" borderId="14" xfId="2" applyFont="1" applyFill="1" applyBorder="1" applyAlignment="1">
      <alignment vertical="center"/>
    </xf>
    <xf numFmtId="9" fontId="19" fillId="0" borderId="11" xfId="2" applyFont="1" applyFill="1" applyBorder="1" applyAlignment="1">
      <alignment vertical="center"/>
    </xf>
    <xf numFmtId="0" fontId="17" fillId="0" borderId="42" xfId="0" applyFont="1" applyBorder="1" applyAlignment="1">
      <alignment horizontal="center" vertical="center"/>
    </xf>
    <xf numFmtId="0" fontId="17" fillId="0" borderId="40" xfId="0" applyFont="1" applyBorder="1" applyAlignment="1">
      <alignment vertical="center"/>
    </xf>
    <xf numFmtId="164" fontId="18" fillId="0" borderId="33" xfId="1" applyNumberFormat="1" applyFont="1" applyFill="1" applyBorder="1" applyAlignment="1">
      <alignment vertical="center"/>
    </xf>
    <xf numFmtId="164" fontId="18" fillId="0" borderId="40" xfId="1" applyNumberFormat="1" applyFont="1" applyFill="1" applyBorder="1" applyAlignment="1">
      <alignment vertical="center"/>
    </xf>
    <xf numFmtId="43" fontId="18" fillId="0" borderId="40" xfId="1" applyFont="1" applyFill="1" applyBorder="1" applyAlignment="1">
      <alignment vertical="center"/>
    </xf>
    <xf numFmtId="43" fontId="17" fillId="0" borderId="40" xfId="1" applyFont="1" applyFill="1" applyBorder="1" applyAlignment="1">
      <alignment vertical="center"/>
    </xf>
    <xf numFmtId="43" fontId="17" fillId="0" borderId="22" xfId="1" applyFont="1" applyFill="1" applyBorder="1" applyAlignment="1">
      <alignment vertical="center"/>
    </xf>
    <xf numFmtId="9" fontId="18" fillId="0" borderId="22" xfId="2" applyFont="1" applyFill="1" applyBorder="1" applyAlignment="1">
      <alignment vertical="center"/>
    </xf>
    <xf numFmtId="9" fontId="17" fillId="0" borderId="40" xfId="2" applyFont="1" applyFill="1" applyBorder="1" applyAlignment="1">
      <alignment vertical="center"/>
    </xf>
    <xf numFmtId="9" fontId="17" fillId="0" borderId="22" xfId="2" applyFont="1" applyFill="1" applyBorder="1" applyAlignment="1">
      <alignment vertical="center"/>
    </xf>
    <xf numFmtId="164" fontId="18" fillId="0" borderId="22" xfId="1" applyNumberFormat="1" applyFont="1" applyFill="1" applyBorder="1" applyAlignment="1">
      <alignment vertical="center"/>
    </xf>
    <xf numFmtId="9" fontId="17" fillId="0" borderId="33" xfId="2" applyFont="1" applyFill="1" applyBorder="1" applyAlignment="1">
      <alignment vertical="center"/>
    </xf>
    <xf numFmtId="9" fontId="18" fillId="0" borderId="40" xfId="2" applyFont="1" applyFill="1" applyBorder="1" applyAlignment="1">
      <alignment vertical="center"/>
    </xf>
    <xf numFmtId="43" fontId="19" fillId="0" borderId="22" xfId="1" applyFont="1" applyFill="1" applyBorder="1" applyAlignment="1">
      <alignment vertical="center"/>
    </xf>
    <xf numFmtId="43" fontId="19" fillId="0" borderId="40" xfId="1" applyFont="1" applyFill="1" applyBorder="1" applyAlignment="1">
      <alignment vertical="center"/>
    </xf>
    <xf numFmtId="9" fontId="19" fillId="0" borderId="22" xfId="2" applyFont="1" applyFill="1" applyBorder="1" applyAlignment="1">
      <alignment vertical="center"/>
    </xf>
    <xf numFmtId="9" fontId="19" fillId="0" borderId="40" xfId="2" applyFont="1" applyFill="1" applyBorder="1" applyAlignment="1">
      <alignment vertical="center"/>
    </xf>
    <xf numFmtId="164" fontId="17" fillId="0" borderId="40" xfId="1" applyNumberFormat="1" applyFont="1" applyFill="1" applyBorder="1" applyAlignment="1">
      <alignment vertical="center"/>
    </xf>
    <xf numFmtId="43" fontId="18" fillId="0" borderId="40" xfId="1" applyFont="1" applyFill="1" applyBorder="1" applyAlignment="1">
      <alignment horizontal="center" vertical="center"/>
    </xf>
    <xf numFmtId="9" fontId="17" fillId="0" borderId="0" xfId="2" applyFont="1" applyFill="1" applyBorder="1" applyAlignment="1">
      <alignment vertical="center"/>
    </xf>
    <xf numFmtId="164" fontId="18" fillId="0" borderId="39" xfId="1" applyNumberFormat="1" applyFont="1" applyFill="1" applyBorder="1" applyAlignment="1">
      <alignment vertical="center"/>
    </xf>
    <xf numFmtId="0" fontId="17" fillId="0" borderId="21" xfId="0" applyFont="1" applyBorder="1" applyAlignment="1">
      <alignment horizontal="center" vertical="center"/>
    </xf>
    <xf numFmtId="43" fontId="17" fillId="0" borderId="40" xfId="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24" xfId="0" applyFont="1" applyBorder="1" applyAlignment="1">
      <alignment vertical="center"/>
    </xf>
    <xf numFmtId="164" fontId="18" fillId="0" borderId="24" xfId="1" applyNumberFormat="1" applyFont="1" applyFill="1" applyBorder="1" applyAlignment="1">
      <alignment vertical="center"/>
    </xf>
    <xf numFmtId="43" fontId="18" fillId="0" borderId="5" xfId="1" applyFont="1" applyFill="1" applyBorder="1" applyAlignment="1">
      <alignment vertical="center"/>
    </xf>
    <xf numFmtId="43" fontId="18" fillId="0" borderId="24" xfId="1" applyFont="1" applyFill="1" applyBorder="1" applyAlignment="1">
      <alignment vertical="center"/>
    </xf>
    <xf numFmtId="43" fontId="17" fillId="0" borderId="5" xfId="1" applyFont="1" applyFill="1" applyBorder="1" applyAlignment="1">
      <alignment vertical="center"/>
    </xf>
    <xf numFmtId="43" fontId="17" fillId="0" borderId="24" xfId="1" applyFont="1" applyFill="1" applyBorder="1" applyAlignment="1">
      <alignment vertical="center"/>
    </xf>
    <xf numFmtId="9" fontId="17" fillId="0" borderId="24" xfId="2" applyFont="1" applyFill="1" applyBorder="1" applyAlignment="1">
      <alignment vertical="center"/>
    </xf>
    <xf numFmtId="164" fontId="18" fillId="0" borderId="5" xfId="1" applyNumberFormat="1" applyFont="1" applyFill="1" applyBorder="1" applyAlignment="1">
      <alignment vertical="center"/>
    </xf>
    <xf numFmtId="9" fontId="18" fillId="0" borderId="24" xfId="2" applyFont="1" applyFill="1" applyBorder="1" applyAlignment="1">
      <alignment vertical="center"/>
    </xf>
    <xf numFmtId="9" fontId="17" fillId="0" borderId="26" xfId="2" applyFont="1" applyFill="1" applyBorder="1" applyAlignment="1">
      <alignment vertical="center"/>
    </xf>
    <xf numFmtId="164" fontId="15" fillId="3" borderId="24" xfId="1" applyNumberFormat="1" applyFont="1" applyFill="1" applyBorder="1" applyAlignment="1">
      <alignment vertical="center"/>
    </xf>
    <xf numFmtId="164" fontId="15" fillId="3" borderId="17" xfId="1" applyNumberFormat="1" applyFont="1" applyFill="1" applyBorder="1" applyAlignment="1">
      <alignment vertical="center"/>
    </xf>
    <xf numFmtId="43" fontId="15" fillId="3" borderId="24" xfId="1" applyFont="1" applyFill="1" applyBorder="1" applyAlignment="1">
      <alignment vertical="center"/>
    </xf>
    <xf numFmtId="43" fontId="15" fillId="3" borderId="5" xfId="1" applyFont="1" applyFill="1" applyBorder="1" applyAlignment="1">
      <alignment vertical="center"/>
    </xf>
    <xf numFmtId="9" fontId="15" fillId="3" borderId="28" xfId="2" applyFont="1" applyFill="1" applyBorder="1" applyAlignment="1">
      <alignment vertical="center"/>
    </xf>
    <xf numFmtId="9" fontId="15" fillId="3" borderId="9" xfId="2" applyFont="1" applyFill="1" applyBorder="1" applyAlignment="1">
      <alignment vertical="center"/>
    </xf>
    <xf numFmtId="9" fontId="15" fillId="3" borderId="18" xfId="2" applyFont="1" applyFill="1" applyBorder="1" applyAlignment="1">
      <alignment vertical="center"/>
    </xf>
    <xf numFmtId="164" fontId="15" fillId="3" borderId="28" xfId="1" applyNumberFormat="1" applyFont="1" applyFill="1" applyBorder="1" applyAlignment="1">
      <alignment vertical="center"/>
    </xf>
    <xf numFmtId="9" fontId="15" fillId="3" borderId="24" xfId="2" applyFont="1" applyFill="1" applyBorder="1" applyAlignment="1">
      <alignment vertical="center"/>
    </xf>
    <xf numFmtId="9" fontId="15" fillId="3" borderId="11" xfId="2" applyFont="1" applyFill="1" applyBorder="1" applyAlignment="1">
      <alignment vertical="center"/>
    </xf>
    <xf numFmtId="9" fontId="15" fillId="3" borderId="1" xfId="2" applyFont="1" applyFill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18" fillId="0" borderId="37" xfId="0" applyFont="1" applyBorder="1" applyAlignment="1">
      <alignment vertical="center"/>
    </xf>
    <xf numFmtId="43" fontId="19" fillId="0" borderId="37" xfId="1" applyFont="1" applyFill="1" applyBorder="1" applyAlignment="1">
      <alignment vertical="center"/>
    </xf>
    <xf numFmtId="9" fontId="18" fillId="0" borderId="41" xfId="2" applyFont="1" applyFill="1" applyBorder="1" applyAlignment="1">
      <alignment vertical="center"/>
    </xf>
    <xf numFmtId="9" fontId="19" fillId="0" borderId="9" xfId="2" applyFont="1" applyFill="1" applyBorder="1" applyAlignment="1">
      <alignment vertical="center"/>
    </xf>
    <xf numFmtId="9" fontId="19" fillId="0" borderId="10" xfId="2" applyFont="1" applyFill="1" applyBorder="1" applyAlignment="1">
      <alignment vertical="center"/>
    </xf>
    <xf numFmtId="43" fontId="19" fillId="0" borderId="33" xfId="1" applyFont="1" applyFill="1" applyBorder="1" applyAlignment="1">
      <alignment vertical="center"/>
    </xf>
    <xf numFmtId="43" fontId="17" fillId="0" borderId="14" xfId="1" applyFont="1" applyFill="1" applyBorder="1" applyAlignment="1">
      <alignment vertical="center"/>
    </xf>
    <xf numFmtId="43" fontId="19" fillId="0" borderId="41" xfId="1" applyFont="1" applyFill="1" applyBorder="1" applyAlignment="1">
      <alignment vertical="center"/>
    </xf>
    <xf numFmtId="9" fontId="18" fillId="0" borderId="9" xfId="2" applyFont="1" applyFill="1" applyBorder="1" applyAlignment="1">
      <alignment vertical="center"/>
    </xf>
    <xf numFmtId="9" fontId="17" fillId="0" borderId="13" xfId="2" applyFont="1" applyFill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17" fillId="0" borderId="42" xfId="0" applyFont="1" applyBorder="1" applyAlignment="1">
      <alignment vertical="center"/>
    </xf>
    <xf numFmtId="43" fontId="17" fillId="0" borderId="42" xfId="1" applyFont="1" applyFill="1" applyBorder="1" applyAlignment="1">
      <alignment vertical="center"/>
    </xf>
    <xf numFmtId="9" fontId="17" fillId="0" borderId="42" xfId="2" applyFont="1" applyFill="1" applyBorder="1" applyAlignment="1">
      <alignment vertical="center"/>
    </xf>
    <xf numFmtId="9" fontId="17" fillId="0" borderId="35" xfId="2" applyFont="1" applyFill="1" applyBorder="1" applyAlignment="1">
      <alignment vertical="center"/>
    </xf>
    <xf numFmtId="9" fontId="18" fillId="0" borderId="42" xfId="2" applyFont="1" applyFill="1" applyBorder="1" applyAlignment="1">
      <alignment vertical="center"/>
    </xf>
    <xf numFmtId="0" fontId="17" fillId="0" borderId="33" xfId="0" applyFont="1" applyBorder="1" applyAlignment="1">
      <alignment horizontal="center" vertical="center"/>
    </xf>
    <xf numFmtId="43" fontId="18" fillId="0" borderId="42" xfId="1" applyFont="1" applyFill="1" applyBorder="1" applyAlignment="1">
      <alignment vertical="center"/>
    </xf>
    <xf numFmtId="9" fontId="18" fillId="0" borderId="45" xfId="2" applyFont="1" applyFill="1" applyBorder="1" applyAlignment="1">
      <alignment vertical="center"/>
    </xf>
    <xf numFmtId="166" fontId="18" fillId="0" borderId="12" xfId="1" applyNumberFormat="1" applyFont="1" applyFill="1" applyBorder="1" applyAlignment="1">
      <alignment vertical="center"/>
    </xf>
    <xf numFmtId="164" fontId="18" fillId="0" borderId="42" xfId="1" applyNumberFormat="1" applyFont="1" applyFill="1" applyBorder="1" applyAlignment="1">
      <alignment vertical="center"/>
    </xf>
    <xf numFmtId="166" fontId="18" fillId="0" borderId="42" xfId="1" applyNumberFormat="1" applyFont="1" applyFill="1" applyBorder="1" applyAlignment="1">
      <alignment vertical="center"/>
    </xf>
    <xf numFmtId="9" fontId="15" fillId="3" borderId="42" xfId="2" applyFont="1" applyFill="1" applyBorder="1" applyAlignment="1">
      <alignment vertical="center"/>
    </xf>
    <xf numFmtId="9" fontId="15" fillId="3" borderId="35" xfId="2" applyFont="1" applyFill="1" applyBorder="1" applyAlignment="1">
      <alignment vertical="center"/>
    </xf>
    <xf numFmtId="43" fontId="18" fillId="0" borderId="43" xfId="1" applyFont="1" applyFill="1" applyBorder="1" applyAlignment="1">
      <alignment vertical="center"/>
    </xf>
    <xf numFmtId="43" fontId="19" fillId="0" borderId="42" xfId="1" applyFont="1" applyFill="1" applyBorder="1" applyAlignment="1">
      <alignment vertical="center"/>
    </xf>
    <xf numFmtId="9" fontId="19" fillId="0" borderId="42" xfId="2" applyFont="1" applyFill="1" applyBorder="1" applyAlignment="1">
      <alignment vertical="center"/>
    </xf>
    <xf numFmtId="9" fontId="19" fillId="0" borderId="35" xfId="2" applyFont="1" applyFill="1" applyBorder="1" applyAlignment="1">
      <alignment vertical="center"/>
    </xf>
    <xf numFmtId="0" fontId="17" fillId="0" borderId="43" xfId="0" applyFont="1" applyBorder="1" applyAlignment="1">
      <alignment horizontal="center" vertical="center"/>
    </xf>
    <xf numFmtId="164" fontId="18" fillId="0" borderId="43" xfId="1" applyNumberFormat="1" applyFont="1" applyFill="1" applyBorder="1" applyAlignment="1">
      <alignment vertical="center"/>
    </xf>
    <xf numFmtId="43" fontId="18" fillId="0" borderId="38" xfId="1" applyFont="1" applyFill="1" applyBorder="1" applyAlignment="1">
      <alignment vertical="center"/>
    </xf>
    <xf numFmtId="43" fontId="17" fillId="0" borderId="38" xfId="1" applyFont="1" applyFill="1" applyBorder="1" applyAlignment="1">
      <alignment vertical="center"/>
    </xf>
    <xf numFmtId="43" fontId="19" fillId="0" borderId="45" xfId="1" applyFont="1" applyFill="1" applyBorder="1" applyAlignment="1">
      <alignment vertical="center"/>
    </xf>
    <xf numFmtId="164" fontId="17" fillId="0" borderId="12" xfId="3" applyNumberFormat="1" applyFont="1" applyFill="1" applyBorder="1" applyAlignment="1">
      <alignment vertical="center"/>
    </xf>
    <xf numFmtId="43" fontId="18" fillId="0" borderId="45" xfId="1" applyFont="1" applyFill="1" applyBorder="1" applyAlignment="1">
      <alignment vertical="center"/>
    </xf>
    <xf numFmtId="9" fontId="18" fillId="0" borderId="38" xfId="2" applyFont="1" applyFill="1" applyBorder="1" applyAlignment="1">
      <alignment vertical="center"/>
    </xf>
    <xf numFmtId="0" fontId="17" fillId="0" borderId="26" xfId="0" applyFont="1" applyBorder="1" applyAlignment="1">
      <alignment horizontal="center" vertical="center"/>
    </xf>
    <xf numFmtId="166" fontId="17" fillId="0" borderId="26" xfId="1" applyNumberFormat="1" applyFont="1" applyFill="1" applyBorder="1" applyAlignment="1">
      <alignment vertical="center"/>
    </xf>
    <xf numFmtId="164" fontId="18" fillId="0" borderId="26" xfId="1" applyNumberFormat="1" applyFont="1" applyFill="1" applyBorder="1" applyAlignment="1">
      <alignment vertical="center"/>
    </xf>
    <xf numFmtId="43" fontId="18" fillId="0" borderId="47" xfId="1" applyFont="1" applyFill="1" applyBorder="1" applyAlignment="1">
      <alignment vertical="center"/>
    </xf>
    <xf numFmtId="43" fontId="18" fillId="0" borderId="26" xfId="1" applyFont="1" applyFill="1" applyBorder="1" applyAlignment="1">
      <alignment vertical="center"/>
    </xf>
    <xf numFmtId="43" fontId="19" fillId="0" borderId="26" xfId="1" applyFont="1" applyFill="1" applyBorder="1" applyAlignment="1">
      <alignment vertical="center"/>
    </xf>
    <xf numFmtId="43" fontId="20" fillId="0" borderId="47" xfId="1" applyFont="1" applyFill="1" applyBorder="1" applyAlignment="1">
      <alignment vertical="center"/>
    </xf>
    <xf numFmtId="9" fontId="17" fillId="0" borderId="17" xfId="2" applyFont="1" applyFill="1" applyBorder="1" applyAlignment="1">
      <alignment vertical="center"/>
    </xf>
    <xf numFmtId="9" fontId="18" fillId="0" borderId="26" xfId="2" applyFont="1" applyFill="1" applyBorder="1" applyAlignment="1">
      <alignment vertical="center"/>
    </xf>
    <xf numFmtId="9" fontId="17" fillId="0" borderId="6" xfId="2" applyFont="1" applyFill="1" applyBorder="1" applyAlignment="1">
      <alignment vertical="center"/>
    </xf>
    <xf numFmtId="164" fontId="18" fillId="0" borderId="50" xfId="1" applyNumberFormat="1" applyFont="1" applyFill="1" applyBorder="1" applyAlignment="1">
      <alignment vertical="center"/>
    </xf>
    <xf numFmtId="43" fontId="17" fillId="0" borderId="26" xfId="1" applyFont="1" applyFill="1" applyBorder="1" applyAlignment="1">
      <alignment vertical="center"/>
    </xf>
    <xf numFmtId="0" fontId="17" fillId="0" borderId="18" xfId="0" applyFont="1" applyBorder="1" applyAlignment="1">
      <alignment horizontal="center" vertical="center"/>
    </xf>
    <xf numFmtId="0" fontId="17" fillId="0" borderId="48" xfId="0" applyFont="1" applyBorder="1" applyAlignment="1">
      <alignment vertical="center"/>
    </xf>
    <xf numFmtId="164" fontId="18" fillId="20" borderId="18" xfId="1" applyNumberFormat="1" applyFont="1" applyFill="1" applyBorder="1" applyAlignment="1">
      <alignment vertical="center"/>
    </xf>
    <xf numFmtId="164" fontId="18" fillId="0" borderId="49" xfId="1" applyNumberFormat="1" applyFont="1" applyFill="1" applyBorder="1" applyAlignment="1">
      <alignment vertical="center"/>
    </xf>
    <xf numFmtId="43" fontId="18" fillId="20" borderId="33" xfId="1" applyFont="1" applyFill="1" applyBorder="1" applyAlignment="1">
      <alignment vertical="center"/>
    </xf>
    <xf numFmtId="43" fontId="18" fillId="0" borderId="0" xfId="1" applyFont="1" applyFill="1" applyBorder="1" applyAlignment="1">
      <alignment vertical="center"/>
    </xf>
    <xf numFmtId="43" fontId="18" fillId="0" borderId="18" xfId="1" applyFont="1" applyFill="1" applyBorder="1" applyAlignment="1">
      <alignment vertical="center"/>
    </xf>
    <xf numFmtId="43" fontId="19" fillId="0" borderId="0" xfId="1" applyFont="1" applyFill="1" applyBorder="1" applyAlignment="1">
      <alignment vertical="center"/>
    </xf>
    <xf numFmtId="9" fontId="18" fillId="0" borderId="18" xfId="2" applyFont="1" applyFill="1" applyBorder="1" applyAlignment="1">
      <alignment vertical="center"/>
    </xf>
    <xf numFmtId="9" fontId="18" fillId="0" borderId="0" xfId="2" applyFont="1" applyFill="1" applyBorder="1" applyAlignment="1">
      <alignment vertical="center"/>
    </xf>
    <xf numFmtId="164" fontId="18" fillId="0" borderId="18" xfId="1" applyNumberFormat="1" applyFont="1" applyFill="1" applyBorder="1" applyAlignment="1">
      <alignment vertical="center"/>
    </xf>
    <xf numFmtId="43" fontId="19" fillId="0" borderId="18" xfId="1" applyFont="1" applyFill="1" applyBorder="1" applyAlignment="1">
      <alignment vertical="center"/>
    </xf>
    <xf numFmtId="43" fontId="19" fillId="0" borderId="43" xfId="1" applyFont="1" applyFill="1" applyBorder="1" applyAlignment="1">
      <alignment vertical="center"/>
    </xf>
    <xf numFmtId="9" fontId="18" fillId="0" borderId="33" xfId="2" applyFont="1" applyFill="1" applyBorder="1" applyAlignment="1">
      <alignment vertical="center"/>
    </xf>
    <xf numFmtId="43" fontId="15" fillId="3" borderId="28" xfId="1" applyFont="1" applyFill="1" applyBorder="1" applyAlignment="1">
      <alignment vertical="center"/>
    </xf>
    <xf numFmtId="43" fontId="16" fillId="3" borderId="28" xfId="1" applyFont="1" applyFill="1" applyBorder="1" applyAlignment="1">
      <alignment vertical="center"/>
    </xf>
    <xf numFmtId="43" fontId="16" fillId="3" borderId="45" xfId="1" applyFont="1" applyFill="1" applyBorder="1" applyAlignment="1">
      <alignment vertical="center"/>
    </xf>
    <xf numFmtId="43" fontId="16" fillId="3" borderId="27" xfId="1" applyFont="1" applyFill="1" applyBorder="1" applyAlignment="1">
      <alignment vertical="center"/>
    </xf>
    <xf numFmtId="9" fontId="16" fillId="3" borderId="27" xfId="2" applyFont="1" applyFill="1" applyBorder="1" applyAlignment="1">
      <alignment vertical="center"/>
    </xf>
    <xf numFmtId="9" fontId="16" fillId="3" borderId="28" xfId="2" applyFont="1" applyFill="1" applyBorder="1" applyAlignment="1">
      <alignment vertical="center"/>
    </xf>
    <xf numFmtId="9" fontId="16" fillId="3" borderId="43" xfId="2" applyFont="1" applyFill="1" applyBorder="1" applyAlignment="1">
      <alignment vertical="center"/>
    </xf>
    <xf numFmtId="164" fontId="16" fillId="3" borderId="43" xfId="1" applyNumberFormat="1" applyFont="1" applyFill="1" applyBorder="1" applyAlignment="1">
      <alignment vertical="center"/>
    </xf>
    <xf numFmtId="43" fontId="16" fillId="3" borderId="43" xfId="1" applyFont="1" applyFill="1" applyBorder="1" applyAlignment="1">
      <alignment vertical="center"/>
    </xf>
    <xf numFmtId="9" fontId="16" fillId="3" borderId="11" xfId="2" applyFont="1" applyFill="1" applyBorder="1" applyAlignment="1">
      <alignment vertical="center"/>
    </xf>
    <xf numFmtId="43" fontId="18" fillId="0" borderId="37" xfId="1" applyFont="1" applyFill="1" applyBorder="1" applyAlignment="1">
      <alignment vertical="center"/>
    </xf>
    <xf numFmtId="43" fontId="18" fillId="0" borderId="25" xfId="1" applyFont="1" applyFill="1" applyBorder="1" applyAlignment="1">
      <alignment vertical="center"/>
    </xf>
    <xf numFmtId="9" fontId="18" fillId="0" borderId="37" xfId="2" applyFont="1" applyFill="1" applyBorder="1" applyAlignment="1">
      <alignment vertical="center"/>
    </xf>
    <xf numFmtId="9" fontId="17" fillId="0" borderId="14" xfId="2" applyFont="1" applyFill="1" applyBorder="1" applyAlignment="1">
      <alignment vertical="center"/>
    </xf>
    <xf numFmtId="43" fontId="18" fillId="0" borderId="14" xfId="1" applyFont="1" applyFill="1" applyBorder="1"/>
    <xf numFmtId="43" fontId="17" fillId="0" borderId="14" xfId="1" applyFont="1" applyFill="1" applyBorder="1"/>
    <xf numFmtId="9" fontId="17" fillId="0" borderId="25" xfId="2" applyFont="1" applyFill="1" applyBorder="1" applyAlignment="1">
      <alignment vertical="center"/>
    </xf>
    <xf numFmtId="43" fontId="18" fillId="0" borderId="44" xfId="1" applyFont="1" applyFill="1" applyBorder="1" applyAlignment="1">
      <alignment vertical="center"/>
    </xf>
    <xf numFmtId="43" fontId="18" fillId="0" borderId="35" xfId="1" applyFont="1" applyFill="1" applyBorder="1" applyAlignment="1">
      <alignment vertical="center"/>
    </xf>
    <xf numFmtId="9" fontId="18" fillId="0" borderId="35" xfId="2" applyFont="1" applyFill="1" applyBorder="1" applyAlignment="1">
      <alignment vertical="center"/>
    </xf>
    <xf numFmtId="0" fontId="17" fillId="0" borderId="33" xfId="0" applyFont="1" applyBorder="1" applyAlignment="1">
      <alignment vertical="center"/>
    </xf>
    <xf numFmtId="43" fontId="18" fillId="0" borderId="41" xfId="1" applyFont="1" applyFill="1" applyBorder="1" applyAlignment="1">
      <alignment vertical="center"/>
    </xf>
    <xf numFmtId="0" fontId="17" fillId="22" borderId="40" xfId="0" applyFont="1" applyFill="1" applyBorder="1" applyAlignment="1">
      <alignment vertical="center"/>
    </xf>
    <xf numFmtId="164" fontId="18" fillId="22" borderId="33" xfId="1" applyNumberFormat="1" applyFont="1" applyFill="1" applyBorder="1" applyAlignment="1">
      <alignment vertical="center"/>
    </xf>
    <xf numFmtId="164" fontId="18" fillId="22" borderId="40" xfId="1" applyNumberFormat="1" applyFont="1" applyFill="1" applyBorder="1" applyAlignment="1">
      <alignment vertical="center"/>
    </xf>
    <xf numFmtId="43" fontId="18" fillId="22" borderId="42" xfId="1" applyFont="1" applyFill="1" applyBorder="1" applyAlignment="1">
      <alignment vertical="center"/>
    </xf>
    <xf numFmtId="43" fontId="18" fillId="22" borderId="43" xfId="1" applyFont="1" applyFill="1" applyBorder="1" applyAlignment="1">
      <alignment vertical="center"/>
    </xf>
    <xf numFmtId="43" fontId="18" fillId="22" borderId="35" xfId="1" applyFont="1" applyFill="1" applyBorder="1" applyAlignment="1">
      <alignment vertical="center"/>
    </xf>
    <xf numFmtId="43" fontId="20" fillId="22" borderId="45" xfId="1" applyFont="1" applyFill="1" applyBorder="1" applyAlignment="1">
      <alignment vertical="center"/>
    </xf>
    <xf numFmtId="43" fontId="20" fillId="22" borderId="43" xfId="1" applyFont="1" applyFill="1" applyBorder="1" applyAlignment="1">
      <alignment vertical="center"/>
    </xf>
    <xf numFmtId="9" fontId="17" fillId="22" borderId="40" xfId="2" applyFont="1" applyFill="1" applyBorder="1" applyAlignment="1">
      <alignment vertical="center"/>
    </xf>
    <xf numFmtId="9" fontId="17" fillId="22" borderId="42" xfId="2" applyFont="1" applyFill="1" applyBorder="1" applyAlignment="1">
      <alignment vertical="center"/>
    </xf>
    <xf numFmtId="9" fontId="18" fillId="22" borderId="40" xfId="2" applyFont="1" applyFill="1" applyBorder="1" applyAlignment="1">
      <alignment vertical="center"/>
    </xf>
    <xf numFmtId="9" fontId="18" fillId="22" borderId="35" xfId="2" applyFont="1" applyFill="1" applyBorder="1" applyAlignment="1">
      <alignment vertical="center"/>
    </xf>
    <xf numFmtId="43" fontId="17" fillId="0" borderId="35" xfId="1" applyFont="1" applyFill="1" applyBorder="1" applyAlignment="1">
      <alignment vertical="center"/>
    </xf>
    <xf numFmtId="43" fontId="17" fillId="0" borderId="45" xfId="1" applyFont="1" applyFill="1" applyBorder="1" applyAlignment="1">
      <alignment vertical="center"/>
    </xf>
    <xf numFmtId="43" fontId="17" fillId="0" borderId="43" xfId="1" applyFont="1" applyFill="1" applyBorder="1" applyAlignment="1">
      <alignment vertical="center"/>
    </xf>
    <xf numFmtId="0" fontId="18" fillId="0" borderId="40" xfId="0" applyFont="1" applyBorder="1" applyAlignment="1">
      <alignment vertical="center"/>
    </xf>
    <xf numFmtId="43" fontId="17" fillId="0" borderId="40" xfId="1" applyFont="1" applyFill="1" applyBorder="1"/>
    <xf numFmtId="0" fontId="18" fillId="0" borderId="43" xfId="0" applyFont="1" applyBorder="1" applyAlignment="1">
      <alignment vertical="center"/>
    </xf>
    <xf numFmtId="9" fontId="17" fillId="0" borderId="41" xfId="2" applyFont="1" applyFill="1" applyBorder="1" applyAlignment="1">
      <alignment vertical="center"/>
    </xf>
    <xf numFmtId="9" fontId="17" fillId="0" borderId="11" xfId="2" applyFont="1" applyFill="1" applyBorder="1" applyAlignment="1">
      <alignment vertical="center"/>
    </xf>
    <xf numFmtId="9" fontId="17" fillId="0" borderId="9" xfId="2" applyFont="1" applyFill="1" applyBorder="1" applyAlignment="1">
      <alignment vertical="center"/>
    </xf>
    <xf numFmtId="0" fontId="17" fillId="0" borderId="26" xfId="0" applyFont="1" applyBorder="1" applyAlignment="1">
      <alignment vertical="center"/>
    </xf>
    <xf numFmtId="43" fontId="18" fillId="0" borderId="46" xfId="1" applyFont="1" applyFill="1" applyBorder="1" applyAlignment="1">
      <alignment vertical="center"/>
    </xf>
    <xf numFmtId="43" fontId="18" fillId="0" borderId="50" xfId="1" applyFont="1" applyFill="1" applyBorder="1" applyAlignment="1">
      <alignment vertical="center"/>
    </xf>
    <xf numFmtId="9" fontId="18" fillId="0" borderId="46" xfId="2" applyFont="1" applyFill="1" applyBorder="1" applyAlignment="1">
      <alignment vertical="center"/>
    </xf>
    <xf numFmtId="9" fontId="17" fillId="0" borderId="43" xfId="2" applyFont="1" applyFill="1" applyBorder="1" applyAlignment="1">
      <alignment vertical="center"/>
    </xf>
    <xf numFmtId="9" fontId="19" fillId="0" borderId="45" xfId="2" applyFont="1" applyFill="1" applyBorder="1" applyAlignment="1">
      <alignment vertical="center"/>
    </xf>
    <xf numFmtId="9" fontId="19" fillId="0" borderId="50" xfId="2" applyFont="1" applyFill="1" applyBorder="1" applyAlignment="1">
      <alignment vertical="center"/>
    </xf>
    <xf numFmtId="164" fontId="16" fillId="3" borderId="18" xfId="1" applyNumberFormat="1" applyFont="1" applyFill="1" applyBorder="1" applyAlignment="1">
      <alignment vertical="center"/>
    </xf>
    <xf numFmtId="164" fontId="16" fillId="3" borderId="49" xfId="1" applyNumberFormat="1" applyFont="1" applyFill="1" applyBorder="1" applyAlignment="1">
      <alignment vertical="center"/>
    </xf>
    <xf numFmtId="43" fontId="16" fillId="3" borderId="49" xfId="1" applyFont="1" applyFill="1" applyBorder="1" applyAlignment="1">
      <alignment vertical="center"/>
    </xf>
    <xf numFmtId="9" fontId="15" fillId="3" borderId="27" xfId="2" applyFont="1" applyFill="1" applyBorder="1" applyAlignment="1">
      <alignment vertical="center"/>
    </xf>
    <xf numFmtId="166" fontId="16" fillId="3" borderId="18" xfId="1" applyNumberFormat="1" applyFont="1" applyFill="1" applyBorder="1" applyAlignment="1">
      <alignment vertical="center"/>
    </xf>
    <xf numFmtId="43" fontId="16" fillId="3" borderId="18" xfId="1" applyFont="1" applyFill="1" applyBorder="1" applyAlignment="1">
      <alignment vertical="center"/>
    </xf>
    <xf numFmtId="43" fontId="21" fillId="3" borderId="18" xfId="1" applyFont="1" applyFill="1" applyBorder="1" applyAlignment="1">
      <alignment vertical="center"/>
    </xf>
    <xf numFmtId="9" fontId="21" fillId="3" borderId="18" xfId="2" applyFont="1" applyFill="1" applyBorder="1" applyAlignment="1">
      <alignment vertical="center"/>
    </xf>
    <xf numFmtId="0" fontId="17" fillId="0" borderId="13" xfId="0" applyFont="1" applyBorder="1" applyAlignment="1">
      <alignment horizontal="left" vertical="center" wrapText="1"/>
    </xf>
    <xf numFmtId="43" fontId="18" fillId="0" borderId="11" xfId="1" applyFont="1" applyFill="1" applyBorder="1" applyAlignment="1">
      <alignment vertical="center"/>
    </xf>
    <xf numFmtId="43" fontId="19" fillId="0" borderId="36" xfId="1" applyFont="1" applyFill="1" applyBorder="1" applyAlignment="1">
      <alignment vertical="center"/>
    </xf>
    <xf numFmtId="9" fontId="19" fillId="0" borderId="36" xfId="2" applyFont="1" applyFill="1" applyBorder="1" applyAlignment="1">
      <alignment vertical="center"/>
    </xf>
    <xf numFmtId="0" fontId="17" fillId="0" borderId="22" xfId="0" applyFont="1" applyBorder="1" applyAlignment="1">
      <alignment horizontal="left" vertical="center" wrapText="1"/>
    </xf>
    <xf numFmtId="43" fontId="18" fillId="0" borderId="33" xfId="1" applyFont="1" applyFill="1" applyBorder="1" applyAlignment="1">
      <alignment vertical="center"/>
    </xf>
    <xf numFmtId="43" fontId="19" fillId="0" borderId="39" xfId="1" applyFont="1" applyFill="1" applyBorder="1" applyAlignment="1">
      <alignment vertical="center"/>
    </xf>
    <xf numFmtId="43" fontId="17" fillId="0" borderId="40" xfId="3" applyFont="1" applyFill="1" applyBorder="1" applyAlignment="1">
      <alignment horizontal="left" vertical="center"/>
    </xf>
    <xf numFmtId="43" fontId="17" fillId="0" borderId="33" xfId="1" applyFont="1" applyFill="1" applyBorder="1" applyAlignment="1">
      <alignment vertical="center"/>
    </xf>
    <xf numFmtId="0" fontId="15" fillId="0" borderId="22" xfId="0" applyFont="1" applyBorder="1" applyAlignment="1">
      <alignment horizontal="left" vertical="center" wrapText="1"/>
    </xf>
    <xf numFmtId="164" fontId="16" fillId="0" borderId="33" xfId="1" applyNumberFormat="1" applyFont="1" applyFill="1" applyBorder="1" applyAlignment="1">
      <alignment vertical="center"/>
    </xf>
    <xf numFmtId="43" fontId="16" fillId="0" borderId="33" xfId="1" applyFont="1" applyFill="1" applyBorder="1" applyAlignment="1">
      <alignment vertical="center"/>
    </xf>
    <xf numFmtId="43" fontId="21" fillId="0" borderId="33" xfId="1" applyFont="1" applyFill="1" applyBorder="1" applyAlignment="1">
      <alignment vertical="center"/>
    </xf>
    <xf numFmtId="9" fontId="16" fillId="0" borderId="40" xfId="2" applyFont="1" applyFill="1" applyBorder="1" applyAlignment="1">
      <alignment vertical="center"/>
    </xf>
    <xf numFmtId="9" fontId="21" fillId="0" borderId="22" xfId="2" applyFont="1" applyFill="1" applyBorder="1" applyAlignment="1">
      <alignment vertical="center"/>
    </xf>
    <xf numFmtId="9" fontId="15" fillId="0" borderId="40" xfId="2" applyFont="1" applyFill="1" applyBorder="1" applyAlignment="1">
      <alignment vertical="center"/>
    </xf>
    <xf numFmtId="9" fontId="21" fillId="0" borderId="40" xfId="2" applyFont="1" applyFill="1" applyBorder="1" applyAlignment="1">
      <alignment vertical="center"/>
    </xf>
    <xf numFmtId="164" fontId="16" fillId="0" borderId="40" xfId="1" applyNumberFormat="1" applyFont="1" applyFill="1" applyBorder="1" applyAlignment="1">
      <alignment vertical="center"/>
    </xf>
    <xf numFmtId="43" fontId="16" fillId="0" borderId="40" xfId="1" applyFont="1" applyFill="1" applyBorder="1" applyAlignment="1">
      <alignment vertical="center"/>
    </xf>
    <xf numFmtId="43" fontId="15" fillId="0" borderId="40" xfId="1" applyFont="1" applyFill="1" applyBorder="1" applyAlignment="1">
      <alignment vertical="center"/>
    </xf>
    <xf numFmtId="43" fontId="21" fillId="0" borderId="40" xfId="1" applyFont="1" applyFill="1" applyBorder="1" applyAlignment="1">
      <alignment vertical="center"/>
    </xf>
    <xf numFmtId="0" fontId="17" fillId="0" borderId="22" xfId="0" applyFont="1" applyBorder="1" applyAlignment="1">
      <alignment horizontal="left" vertical="center"/>
    </xf>
    <xf numFmtId="0" fontId="18" fillId="0" borderId="22" xfId="1" applyNumberFormat="1" applyFont="1" applyFill="1" applyBorder="1" applyAlignment="1">
      <alignment horizontal="left" vertical="center"/>
    </xf>
    <xf numFmtId="43" fontId="19" fillId="0" borderId="40" xfId="1" applyFont="1" applyFill="1" applyBorder="1"/>
    <xf numFmtId="0" fontId="17" fillId="0" borderId="24" xfId="0" applyFont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left" vertical="center"/>
    </xf>
    <xf numFmtId="43" fontId="18" fillId="0" borderId="40" xfId="1" applyFont="1" applyFill="1" applyBorder="1"/>
    <xf numFmtId="9" fontId="15" fillId="3" borderId="29" xfId="2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64" fontId="15" fillId="6" borderId="28" xfId="1" applyNumberFormat="1" applyFont="1" applyFill="1" applyBorder="1" applyAlignment="1">
      <alignment vertical="center"/>
    </xf>
    <xf numFmtId="43" fontId="15" fillId="6" borderId="28" xfId="1" applyFont="1" applyFill="1" applyBorder="1" applyAlignment="1">
      <alignment vertical="center"/>
    </xf>
    <xf numFmtId="9" fontId="15" fillId="6" borderId="28" xfId="2" applyFont="1" applyFill="1" applyBorder="1" applyAlignment="1">
      <alignment vertical="center"/>
    </xf>
    <xf numFmtId="9" fontId="15" fillId="6" borderId="27" xfId="2" applyFont="1" applyFill="1" applyBorder="1" applyAlignment="1">
      <alignment vertical="center"/>
    </xf>
    <xf numFmtId="43" fontId="15" fillId="6" borderId="29" xfId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64" fontId="16" fillId="0" borderId="0" xfId="1" applyNumberFormat="1" applyFont="1" applyFill="1" applyBorder="1" applyAlignment="1">
      <alignment vertical="center"/>
    </xf>
    <xf numFmtId="43" fontId="16" fillId="0" borderId="0" xfId="1" applyFont="1" applyFill="1" applyBorder="1" applyAlignment="1">
      <alignment vertical="center"/>
    </xf>
    <xf numFmtId="43" fontId="16" fillId="0" borderId="13" xfId="1" applyFont="1" applyFill="1" applyBorder="1" applyAlignment="1">
      <alignment vertical="center"/>
    </xf>
    <xf numFmtId="43" fontId="15" fillId="0" borderId="0" xfId="1" applyFont="1" applyFill="1" applyBorder="1" applyAlignment="1">
      <alignment vertical="center"/>
    </xf>
    <xf numFmtId="9" fontId="15" fillId="0" borderId="0" xfId="2" applyFont="1" applyFill="1" applyBorder="1" applyAlignment="1">
      <alignment vertical="center"/>
    </xf>
    <xf numFmtId="43" fontId="17" fillId="0" borderId="0" xfId="1" applyFont="1" applyFill="1" applyBorder="1"/>
    <xf numFmtId="167" fontId="15" fillId="0" borderId="0" xfId="2" applyNumberFormat="1" applyFont="1" applyBorder="1"/>
    <xf numFmtId="0" fontId="15" fillId="0" borderId="0" xfId="0" applyFont="1"/>
    <xf numFmtId="43" fontId="15" fillId="0" borderId="0" xfId="1" applyFont="1" applyBorder="1"/>
    <xf numFmtId="43" fontId="17" fillId="0" borderId="0" xfId="1" applyFont="1" applyBorder="1"/>
    <xf numFmtId="167" fontId="15" fillId="0" borderId="0" xfId="2" applyNumberFormat="1" applyFont="1" applyFill="1" applyBorder="1"/>
    <xf numFmtId="43" fontId="17" fillId="0" borderId="0" xfId="1" applyFont="1"/>
    <xf numFmtId="43" fontId="17" fillId="0" borderId="0" xfId="0" applyNumberFormat="1" applyFont="1"/>
    <xf numFmtId="0" fontId="15" fillId="21" borderId="0" xfId="0" applyFont="1" applyFill="1" applyAlignment="1">
      <alignment vertical="center"/>
    </xf>
    <xf numFmtId="43" fontId="17" fillId="21" borderId="0" xfId="1" applyFont="1" applyFill="1" applyBorder="1"/>
    <xf numFmtId="43" fontId="15" fillId="21" borderId="0" xfId="1" applyFont="1" applyFill="1" applyAlignment="1">
      <alignment vertical="center"/>
    </xf>
    <xf numFmtId="164" fontId="17" fillId="0" borderId="0" xfId="0" applyNumberFormat="1" applyFont="1"/>
    <xf numFmtId="0" fontId="17" fillId="0" borderId="0" xfId="0" applyFont="1"/>
    <xf numFmtId="43" fontId="15" fillId="0" borderId="0" xfId="1" applyFont="1" applyFill="1" applyBorder="1"/>
    <xf numFmtId="168" fontId="17" fillId="0" borderId="0" xfId="1" applyNumberFormat="1" applyFont="1"/>
    <xf numFmtId="43" fontId="19" fillId="0" borderId="0" xfId="1" applyFont="1" applyFill="1" applyBorder="1"/>
    <xf numFmtId="43" fontId="21" fillId="0" borderId="0" xfId="1" applyFont="1" applyFill="1" applyBorder="1"/>
    <xf numFmtId="43" fontId="15" fillId="0" borderId="53" xfId="1" applyFont="1" applyFill="1" applyBorder="1"/>
    <xf numFmtId="9" fontId="15" fillId="0" borderId="0" xfId="2" applyFont="1" applyBorder="1"/>
    <xf numFmtId="9" fontId="15" fillId="0" borderId="0" xfId="2" applyFont="1" applyFill="1" applyBorder="1"/>
    <xf numFmtId="9" fontId="17" fillId="0" borderId="0" xfId="2" applyFont="1" applyBorder="1"/>
    <xf numFmtId="9" fontId="17" fillId="0" borderId="0" xfId="2" applyFont="1" applyFill="1" applyBorder="1"/>
    <xf numFmtId="0" fontId="15" fillId="0" borderId="0" xfId="0" applyFont="1" applyAlignment="1">
      <alignment horizontal="center"/>
    </xf>
    <xf numFmtId="43" fontId="17" fillId="0" borderId="0" xfId="1" applyFont="1" applyFill="1"/>
    <xf numFmtId="164" fontId="17" fillId="0" borderId="0" xfId="1" applyNumberFormat="1" applyFont="1" applyBorder="1"/>
    <xf numFmtId="0" fontId="19" fillId="0" borderId="0" xfId="0" applyFont="1"/>
    <xf numFmtId="164" fontId="15" fillId="0" borderId="0" xfId="0" applyNumberFormat="1" applyFont="1"/>
    <xf numFmtId="43" fontId="15" fillId="21" borderId="0" xfId="1" applyFont="1" applyFill="1" applyAlignment="1">
      <alignment horizontal="right" vertical="center"/>
    </xf>
    <xf numFmtId="164" fontId="15" fillId="0" borderId="53" xfId="1" applyNumberFormat="1" applyFont="1" applyBorder="1"/>
    <xf numFmtId="43" fontId="16" fillId="0" borderId="53" xfId="2" applyNumberFormat="1" applyFont="1" applyBorder="1"/>
    <xf numFmtId="9" fontId="18" fillId="0" borderId="0" xfId="2" applyFont="1" applyBorder="1"/>
    <xf numFmtId="43" fontId="16" fillId="0" borderId="53" xfId="1" applyFont="1" applyBorder="1"/>
    <xf numFmtId="9" fontId="18" fillId="0" borderId="0" xfId="2" applyFont="1" applyFill="1" applyBorder="1"/>
    <xf numFmtId="9" fontId="15" fillId="0" borderId="0" xfId="2" applyFont="1"/>
    <xf numFmtId="0" fontId="15" fillId="3" borderId="2" xfId="0" applyFont="1" applyFill="1" applyBorder="1" applyAlignment="1">
      <alignment horizontal="center" vertical="center"/>
    </xf>
    <xf numFmtId="164" fontId="15" fillId="3" borderId="2" xfId="1" applyNumberFormat="1" applyFont="1" applyFill="1" applyBorder="1" applyAlignment="1">
      <alignment horizontal="center" vertical="center"/>
    </xf>
    <xf numFmtId="43" fontId="15" fillId="3" borderId="2" xfId="1" applyFont="1" applyFill="1" applyBorder="1" applyAlignment="1">
      <alignment horizontal="center" vertical="center"/>
    </xf>
    <xf numFmtId="43" fontId="16" fillId="3" borderId="2" xfId="1" applyFont="1" applyFill="1" applyBorder="1" applyAlignment="1">
      <alignment horizontal="center" vertical="center"/>
    </xf>
    <xf numFmtId="43" fontId="21" fillId="3" borderId="2" xfId="1" applyFont="1" applyFill="1" applyBorder="1" applyAlignment="1">
      <alignment horizontal="center" vertical="center"/>
    </xf>
    <xf numFmtId="43" fontId="21" fillId="3" borderId="28" xfId="1" applyFont="1" applyFill="1" applyBorder="1" applyAlignment="1">
      <alignment horizontal="center" vertical="center"/>
    </xf>
    <xf numFmtId="43" fontId="15" fillId="3" borderId="27" xfId="1" applyFont="1" applyFill="1" applyBorder="1" applyAlignment="1">
      <alignment horizontal="center" vertical="center"/>
    </xf>
    <xf numFmtId="167" fontId="15" fillId="3" borderId="28" xfId="2" applyNumberFormat="1" applyFont="1" applyFill="1" applyBorder="1" applyAlignment="1">
      <alignment horizontal="center" vertical="center"/>
    </xf>
    <xf numFmtId="167" fontId="15" fillId="3" borderId="54" xfId="2" applyNumberFormat="1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7" fillId="0" borderId="43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164" fontId="0" fillId="14" borderId="19" xfId="1" applyNumberFormat="1" applyFont="1" applyFill="1" applyBorder="1" applyAlignment="1">
      <alignment horizontal="center" vertical="center" wrapText="1"/>
    </xf>
    <xf numFmtId="164" fontId="0" fillId="14" borderId="31" xfId="1" applyNumberFormat="1" applyFont="1" applyFill="1" applyBorder="1" applyAlignment="1">
      <alignment horizontal="center" vertical="center" wrapText="1"/>
    </xf>
    <xf numFmtId="164" fontId="3" fillId="10" borderId="11" xfId="1" applyNumberFormat="1" applyFont="1" applyFill="1" applyBorder="1" applyAlignment="1">
      <alignment horizontal="center" wrapText="1"/>
    </xf>
    <xf numFmtId="164" fontId="3" fillId="10" borderId="18" xfId="1" applyNumberFormat="1" applyFont="1" applyFill="1" applyBorder="1" applyAlignment="1">
      <alignment horizontal="center" wrapText="1"/>
    </xf>
    <xf numFmtId="164" fontId="3" fillId="10" borderId="24" xfId="1" applyNumberFormat="1" applyFont="1" applyFill="1" applyBorder="1" applyAlignment="1">
      <alignment horizontal="center" wrapText="1"/>
    </xf>
    <xf numFmtId="164" fontId="3" fillId="10" borderId="11" xfId="1" applyNumberFormat="1" applyFont="1" applyFill="1" applyBorder="1" applyAlignment="1">
      <alignment horizontal="center" vertical="center" wrapText="1"/>
    </xf>
    <xf numFmtId="164" fontId="3" fillId="10" borderId="18" xfId="1" applyNumberFormat="1" applyFont="1" applyFill="1" applyBorder="1" applyAlignment="1">
      <alignment horizontal="center" vertical="center" wrapText="1"/>
    </xf>
    <xf numFmtId="164" fontId="3" fillId="10" borderId="24" xfId="1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5" fillId="3" borderId="49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49" xfId="0" applyFont="1" applyFill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164" fontId="0" fillId="11" borderId="21" xfId="1" applyNumberFormat="1" applyFont="1" applyFill="1" applyBorder="1" applyAlignment="1">
      <alignment horizontal="center" vertical="center" wrapText="1"/>
    </xf>
    <xf numFmtId="164" fontId="0" fillId="11" borderId="22" xfId="1" applyNumberFormat="1" applyFont="1" applyFill="1" applyBorder="1" applyAlignment="1">
      <alignment horizontal="center" vertical="center" wrapText="1"/>
    </xf>
    <xf numFmtId="164" fontId="0" fillId="11" borderId="23" xfId="1" applyNumberFormat="1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/>
    </xf>
    <xf numFmtId="164" fontId="0" fillId="11" borderId="12" xfId="1" applyNumberFormat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 vertical="center" wrapText="1"/>
    </xf>
  </cellXfs>
  <cellStyles count="4">
    <cellStyle name="Comma" xfId="1" builtinId="3"/>
    <cellStyle name="Comma 10" xfId="3" xr:uid="{00000000-0005-0000-0000-000001000000}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J145"/>
  <sheetViews>
    <sheetView tabSelected="1" topLeftCell="G1" zoomScaleNormal="100" workbookViewId="0">
      <pane xSplit="2" ySplit="6" topLeftCell="U7" activePane="bottomRight" state="frozen"/>
      <selection activeCell="G1" sqref="G1"/>
      <selection pane="topRight" activeCell="I1" sqref="I1"/>
      <selection pane="bottomLeft" activeCell="G7" sqref="G7"/>
      <selection pane="bottomRight" activeCell="Z9" sqref="Z9"/>
    </sheetView>
  </sheetViews>
  <sheetFormatPr defaultColWidth="9.140625" defaultRowHeight="15" x14ac:dyDescent="0.25"/>
  <cols>
    <col min="1" max="1" width="8.85546875" hidden="1" customWidth="1"/>
    <col min="2" max="2" width="0.140625" hidden="1" customWidth="1"/>
    <col min="3" max="4" width="18" hidden="1" customWidth="1"/>
    <col min="5" max="5" width="10.42578125" hidden="1" customWidth="1"/>
    <col min="6" max="6" width="10.28515625" hidden="1" customWidth="1"/>
    <col min="7" max="7" width="5.7109375" customWidth="1"/>
    <col min="8" max="8" width="25.42578125" customWidth="1"/>
    <col min="9" max="9" width="9.5703125" style="200" hidden="1" customWidth="1"/>
    <col min="10" max="10" width="9.5703125" hidden="1" customWidth="1"/>
    <col min="11" max="11" width="9.5703125" style="200" hidden="1" customWidth="1"/>
    <col min="12" max="16" width="9.5703125" hidden="1" customWidth="1"/>
    <col min="17" max="17" width="8.7109375" hidden="1" customWidth="1"/>
    <col min="18" max="18" width="8.5703125" hidden="1" customWidth="1"/>
    <col min="19" max="19" width="8.85546875" hidden="1" customWidth="1"/>
    <col min="20" max="20" width="8.28515625" hidden="1" customWidth="1"/>
    <col min="21" max="21" width="14.28515625" customWidth="1"/>
    <col min="22" max="22" width="14.42578125" customWidth="1"/>
    <col min="23" max="23" width="15.85546875" customWidth="1"/>
    <col min="24" max="24" width="14.28515625" style="186" customWidth="1"/>
    <col min="25" max="25" width="13.5703125" customWidth="1"/>
    <col min="26" max="26" width="13.7109375" style="185" customWidth="1"/>
    <col min="27" max="27" width="12.42578125" customWidth="1"/>
    <col min="28" max="28" width="12.5703125" style="186" customWidth="1"/>
    <col min="29" max="29" width="11.28515625" customWidth="1"/>
    <col min="30" max="30" width="12.140625" customWidth="1"/>
    <col min="31" max="31" width="13" customWidth="1"/>
    <col min="32" max="32" width="11.5703125" customWidth="1"/>
    <col min="33" max="33" width="8.140625" hidden="1" customWidth="1"/>
    <col min="34" max="34" width="8" hidden="1" customWidth="1"/>
    <col min="35" max="35" width="0.7109375" hidden="1" customWidth="1"/>
    <col min="36" max="36" width="10.42578125" hidden="1" customWidth="1"/>
    <col min="37" max="37" width="12.28515625" hidden="1" customWidth="1"/>
    <col min="38" max="38" width="10.140625" hidden="1" customWidth="1"/>
    <col min="39" max="39" width="9.85546875" hidden="1" customWidth="1"/>
    <col min="40" max="40" width="10.85546875" hidden="1" customWidth="1"/>
    <col min="41" max="41" width="10.5703125" hidden="1" customWidth="1"/>
    <col min="42" max="42" width="9.140625" hidden="1" customWidth="1"/>
    <col min="43" max="43" width="9.85546875" hidden="1" customWidth="1"/>
    <col min="44" max="44" width="0.7109375" hidden="1" customWidth="1"/>
    <col min="45" max="45" width="45.85546875" hidden="1" customWidth="1"/>
    <col min="46" max="46" width="20.28515625" hidden="1" customWidth="1"/>
    <col min="47" max="50" width="9.140625" hidden="1" customWidth="1"/>
    <col min="51" max="51" width="14.42578125" hidden="1" customWidth="1"/>
    <col min="52" max="53" width="9.140625" hidden="1" customWidth="1"/>
    <col min="54" max="54" width="10.28515625" hidden="1" customWidth="1"/>
    <col min="55" max="55" width="11.7109375" style="1" hidden="1" customWidth="1"/>
    <col min="56" max="57" width="12.140625" style="1" hidden="1" customWidth="1"/>
    <col min="58" max="59" width="11.7109375" style="1" hidden="1" customWidth="1"/>
    <col min="60" max="60" width="10.28515625" style="1" hidden="1" customWidth="1"/>
    <col min="61" max="61" width="11.28515625" style="1" hidden="1" customWidth="1"/>
    <col min="62" max="62" width="11.42578125" style="1" hidden="1" customWidth="1"/>
    <col min="63" max="63" width="10.5703125" style="1" hidden="1" customWidth="1"/>
    <col min="64" max="64" width="12" style="1" hidden="1" customWidth="1"/>
    <col min="65" max="65" width="11.85546875" style="1" hidden="1" customWidth="1"/>
    <col min="66" max="70" width="9.140625" hidden="1" customWidth="1"/>
    <col min="71" max="71" width="18.42578125" hidden="1" customWidth="1"/>
    <col min="72" max="72" width="15.28515625" hidden="1" customWidth="1"/>
    <col min="73" max="74" width="9.140625" hidden="1" customWidth="1"/>
    <col min="75" max="75" width="6.140625" hidden="1" customWidth="1"/>
    <col min="76" max="78" width="9.140625" hidden="1" customWidth="1"/>
    <col min="79" max="79" width="10.5703125" hidden="1" customWidth="1"/>
    <col min="80" max="81" width="9.140625" hidden="1" customWidth="1"/>
    <col min="82" max="82" width="11.140625" hidden="1" customWidth="1"/>
    <col min="83" max="85" width="9.140625" hidden="1" customWidth="1"/>
    <col min="86" max="86" width="63.5703125" hidden="1" customWidth="1"/>
    <col min="87" max="87" width="0" hidden="1" customWidth="1"/>
    <col min="88" max="88" width="13.28515625" bestFit="1" customWidth="1"/>
  </cols>
  <sheetData>
    <row r="1" spans="1:88" x14ac:dyDescent="0.25">
      <c r="G1" s="268"/>
      <c r="H1" s="1"/>
      <c r="I1"/>
      <c r="K1"/>
      <c r="L1" s="2"/>
      <c r="M1" s="2"/>
      <c r="N1" s="2"/>
      <c r="Q1" s="2"/>
      <c r="U1" s="3"/>
      <c r="V1" s="3"/>
      <c r="W1" s="3"/>
      <c r="X1" s="3"/>
      <c r="Y1" s="4"/>
      <c r="Z1" s="3">
        <f>V34-826</f>
        <v>2586.1800000000003</v>
      </c>
      <c r="AA1" s="2"/>
      <c r="AB1" s="7">
        <f>V33-2254</f>
        <v>1158.1800000000003</v>
      </c>
      <c r="AG1" s="2"/>
      <c r="AK1" s="2"/>
      <c r="AL1" s="2"/>
      <c r="AM1" s="2"/>
      <c r="BB1" t="s">
        <v>0</v>
      </c>
      <c r="BC1" s="1">
        <v>3.5</v>
      </c>
    </row>
    <row r="2" spans="1:88" ht="19.5" thickBot="1" x14ac:dyDescent="0.35">
      <c r="A2" s="5"/>
      <c r="B2" s="5"/>
      <c r="C2" s="5"/>
      <c r="D2" s="5"/>
      <c r="E2" s="5"/>
      <c r="F2" s="5"/>
      <c r="G2" s="269"/>
      <c r="H2" s="269"/>
      <c r="I2" s="269">
        <v>31</v>
      </c>
      <c r="J2" s="269">
        <v>16</v>
      </c>
      <c r="K2" s="269"/>
      <c r="L2" s="269"/>
      <c r="M2" s="269"/>
      <c r="N2" s="269"/>
      <c r="O2" s="269"/>
      <c r="P2" s="269"/>
      <c r="Q2" s="270">
        <f>K31</f>
        <v>0</v>
      </c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6"/>
      <c r="AH2" s="6"/>
      <c r="AI2" s="6"/>
      <c r="AJ2" s="6"/>
      <c r="AK2" s="6"/>
      <c r="AL2" s="6"/>
      <c r="AM2" s="6"/>
      <c r="AQ2" s="7"/>
      <c r="AZ2" s="2">
        <f>13.3-AB13</f>
        <v>18.668710352790093</v>
      </c>
      <c r="BB2" t="s">
        <v>1</v>
      </c>
      <c r="BC2" s="8"/>
      <c r="CB2" s="14"/>
      <c r="CC2" s="14"/>
      <c r="CD2" s="14"/>
      <c r="CE2" s="14"/>
      <c r="CF2" s="14"/>
      <c r="CG2" s="14"/>
    </row>
    <row r="3" spans="1:88" ht="19.5" thickBot="1" x14ac:dyDescent="0.35">
      <c r="A3" s="5"/>
      <c r="B3" s="5"/>
      <c r="C3" s="5"/>
      <c r="D3" s="5"/>
      <c r="E3" s="5"/>
      <c r="F3" s="5"/>
      <c r="G3" s="271"/>
      <c r="H3" s="272"/>
      <c r="I3" s="564" t="s">
        <v>152</v>
      </c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566"/>
      <c r="U3" s="564" t="s">
        <v>151</v>
      </c>
      <c r="V3" s="565"/>
      <c r="W3" s="565"/>
      <c r="X3" s="565"/>
      <c r="Y3" s="565"/>
      <c r="Z3" s="565"/>
      <c r="AA3" s="565"/>
      <c r="AB3" s="565"/>
      <c r="AC3" s="565"/>
      <c r="AD3" s="565"/>
      <c r="AE3" s="565"/>
      <c r="AF3" s="566"/>
      <c r="AG3" s="9"/>
      <c r="AH3" s="9"/>
      <c r="AI3" s="10"/>
      <c r="AJ3" s="9"/>
      <c r="AK3" s="10"/>
      <c r="AL3" s="10"/>
      <c r="AM3" s="10"/>
      <c r="AN3" s="11" t="s">
        <v>2</v>
      </c>
      <c r="AO3" s="11" t="s">
        <v>3</v>
      </c>
      <c r="AP3" s="11" t="s">
        <v>4</v>
      </c>
      <c r="AQ3" s="11" t="s">
        <v>5</v>
      </c>
      <c r="BA3" s="2">
        <f>X12*AE12</f>
        <v>1.465331014739663</v>
      </c>
      <c r="BC3" s="12"/>
      <c r="CB3" s="636" t="s">
        <v>145</v>
      </c>
      <c r="CC3" s="637"/>
      <c r="CD3" s="637"/>
      <c r="CE3" s="637"/>
      <c r="CF3" s="637"/>
      <c r="CG3" s="638"/>
    </row>
    <row r="4" spans="1:88" ht="19.5" thickBot="1" x14ac:dyDescent="0.35">
      <c r="A4" s="5"/>
      <c r="B4" s="5"/>
      <c r="C4" s="5"/>
      <c r="D4" s="5"/>
      <c r="E4" s="5"/>
      <c r="F4" s="5"/>
      <c r="G4" s="273"/>
      <c r="H4" s="274"/>
      <c r="I4" s="567" t="s">
        <v>6</v>
      </c>
      <c r="J4" s="568"/>
      <c r="K4" s="571" t="s">
        <v>7</v>
      </c>
      <c r="L4" s="572"/>
      <c r="M4" s="575" t="s">
        <v>8</v>
      </c>
      <c r="N4" s="576"/>
      <c r="O4" s="579" t="s">
        <v>9</v>
      </c>
      <c r="P4" s="580"/>
      <c r="Q4" s="575" t="s">
        <v>10</v>
      </c>
      <c r="R4" s="576"/>
      <c r="S4" s="583" t="s">
        <v>11</v>
      </c>
      <c r="T4" s="584"/>
      <c r="U4" s="567" t="s">
        <v>6</v>
      </c>
      <c r="V4" s="568"/>
      <c r="W4" s="571" t="s">
        <v>7</v>
      </c>
      <c r="X4" s="572"/>
      <c r="Y4" s="575" t="s">
        <v>8</v>
      </c>
      <c r="Z4" s="576"/>
      <c r="AA4" s="579" t="s">
        <v>9</v>
      </c>
      <c r="AB4" s="580"/>
      <c r="AC4" s="575" t="s">
        <v>10</v>
      </c>
      <c r="AD4" s="576"/>
      <c r="AE4" s="583" t="s">
        <v>11</v>
      </c>
      <c r="AF4" s="584"/>
      <c r="AG4" s="604" t="s">
        <v>12</v>
      </c>
      <c r="AH4" s="605"/>
      <c r="AI4" s="13"/>
      <c r="AJ4" s="608" t="s">
        <v>13</v>
      </c>
      <c r="AK4" s="608" t="s">
        <v>14</v>
      </c>
      <c r="AL4" s="611" t="s">
        <v>15</v>
      </c>
      <c r="AM4" s="611" t="s">
        <v>16</v>
      </c>
      <c r="AN4" s="595" t="s">
        <v>17</v>
      </c>
      <c r="AO4" s="595" t="s">
        <v>18</v>
      </c>
      <c r="AP4" s="598" t="s">
        <v>19</v>
      </c>
      <c r="AQ4" s="598" t="s">
        <v>20</v>
      </c>
      <c r="AR4" s="14"/>
      <c r="AS4" s="601" t="s">
        <v>21</v>
      </c>
      <c r="BF4" s="649" t="s">
        <v>22</v>
      </c>
      <c r="BG4" s="649"/>
      <c r="BH4" s="649"/>
      <c r="BI4" s="649"/>
      <c r="BJ4" s="649"/>
      <c r="BK4" s="649"/>
      <c r="BL4" s="649"/>
      <c r="BM4" s="649"/>
      <c r="BY4" s="648" t="s">
        <v>9</v>
      </c>
      <c r="BZ4" s="639" t="s">
        <v>23</v>
      </c>
      <c r="CA4" s="642" t="s">
        <v>24</v>
      </c>
      <c r="CB4" s="627" t="s">
        <v>146</v>
      </c>
      <c r="CC4" s="633"/>
      <c r="CD4" s="627" t="s">
        <v>147</v>
      </c>
      <c r="CE4" s="628"/>
      <c r="CF4" s="633" t="s">
        <v>148</v>
      </c>
      <c r="CG4" s="628"/>
    </row>
    <row r="5" spans="1:88" ht="15.75" thickBot="1" x14ac:dyDescent="0.3">
      <c r="A5" s="5"/>
      <c r="B5" s="587" t="s">
        <v>25</v>
      </c>
      <c r="C5" s="15"/>
      <c r="D5" s="15"/>
      <c r="E5" s="589"/>
      <c r="F5" s="16"/>
      <c r="G5" s="591" t="s">
        <v>26</v>
      </c>
      <c r="H5" s="591" t="s">
        <v>27</v>
      </c>
      <c r="I5" s="569"/>
      <c r="J5" s="570"/>
      <c r="K5" s="573"/>
      <c r="L5" s="574"/>
      <c r="M5" s="577"/>
      <c r="N5" s="578"/>
      <c r="O5" s="581"/>
      <c r="P5" s="582"/>
      <c r="Q5" s="577"/>
      <c r="R5" s="578"/>
      <c r="S5" s="585"/>
      <c r="T5" s="586"/>
      <c r="U5" s="569"/>
      <c r="V5" s="570"/>
      <c r="W5" s="573"/>
      <c r="X5" s="574"/>
      <c r="Y5" s="577"/>
      <c r="Z5" s="578"/>
      <c r="AA5" s="581"/>
      <c r="AB5" s="582"/>
      <c r="AC5" s="577"/>
      <c r="AD5" s="578"/>
      <c r="AE5" s="585"/>
      <c r="AF5" s="586"/>
      <c r="AG5" s="606"/>
      <c r="AH5" s="607"/>
      <c r="AI5" s="17"/>
      <c r="AJ5" s="609"/>
      <c r="AK5" s="609"/>
      <c r="AL5" s="612"/>
      <c r="AM5" s="612"/>
      <c r="AN5" s="596"/>
      <c r="AO5" s="596"/>
      <c r="AP5" s="599"/>
      <c r="AQ5" s="599"/>
      <c r="AR5" s="14"/>
      <c r="AS5" s="602"/>
      <c r="BC5" s="593" t="s">
        <v>28</v>
      </c>
      <c r="BD5" s="593" t="s">
        <v>29</v>
      </c>
      <c r="BE5" s="18"/>
      <c r="BF5" s="645" t="s">
        <v>30</v>
      </c>
      <c r="BG5" s="646"/>
      <c r="BH5" s="647"/>
      <c r="BI5" s="19" t="s">
        <v>31</v>
      </c>
      <c r="BJ5" s="19" t="s">
        <v>32</v>
      </c>
      <c r="BK5" s="19" t="s">
        <v>33</v>
      </c>
      <c r="BL5" s="19" t="s">
        <v>34</v>
      </c>
      <c r="BM5" s="19" t="s">
        <v>35</v>
      </c>
      <c r="BY5" s="648"/>
      <c r="BZ5" s="640"/>
      <c r="CA5" s="643"/>
      <c r="CB5" s="629"/>
      <c r="CC5" s="634"/>
      <c r="CD5" s="629"/>
      <c r="CE5" s="630"/>
      <c r="CF5" s="634"/>
      <c r="CG5" s="630"/>
    </row>
    <row r="6" spans="1:88" s="27" customFormat="1" ht="38.25" thickBot="1" x14ac:dyDescent="0.3">
      <c r="A6" s="20"/>
      <c r="B6" s="588"/>
      <c r="C6" s="21"/>
      <c r="D6" s="21"/>
      <c r="E6" s="590"/>
      <c r="F6" s="22"/>
      <c r="G6" s="592"/>
      <c r="H6" s="592"/>
      <c r="I6" s="275" t="s">
        <v>36</v>
      </c>
      <c r="J6" s="276" t="s">
        <v>37</v>
      </c>
      <c r="K6" s="277" t="s">
        <v>36</v>
      </c>
      <c r="L6" s="278" t="s">
        <v>37</v>
      </c>
      <c r="M6" s="279" t="s">
        <v>36</v>
      </c>
      <c r="N6" s="280" t="s">
        <v>37</v>
      </c>
      <c r="O6" s="281" t="s">
        <v>36</v>
      </c>
      <c r="P6" s="282" t="s">
        <v>37</v>
      </c>
      <c r="Q6" s="283" t="s">
        <v>36</v>
      </c>
      <c r="R6" s="284" t="s">
        <v>37</v>
      </c>
      <c r="S6" s="285" t="s">
        <v>36</v>
      </c>
      <c r="T6" s="286" t="s">
        <v>37</v>
      </c>
      <c r="U6" s="275" t="s">
        <v>36</v>
      </c>
      <c r="V6" s="275" t="s">
        <v>37</v>
      </c>
      <c r="W6" s="277" t="s">
        <v>36</v>
      </c>
      <c r="X6" s="277" t="s">
        <v>37</v>
      </c>
      <c r="Y6" s="650" t="s">
        <v>36</v>
      </c>
      <c r="Z6" s="287" t="s">
        <v>37</v>
      </c>
      <c r="AA6" s="288" t="s">
        <v>36</v>
      </c>
      <c r="AB6" s="288" t="s">
        <v>37</v>
      </c>
      <c r="AC6" s="289" t="s">
        <v>36</v>
      </c>
      <c r="AD6" s="289" t="s">
        <v>37</v>
      </c>
      <c r="AE6" s="290" t="s">
        <v>36</v>
      </c>
      <c r="AF6" s="286" t="s">
        <v>37</v>
      </c>
      <c r="AG6" s="24" t="s">
        <v>36</v>
      </c>
      <c r="AH6" s="23" t="s">
        <v>37</v>
      </c>
      <c r="AI6" s="25"/>
      <c r="AJ6" s="610"/>
      <c r="AK6" s="610"/>
      <c r="AL6" s="613"/>
      <c r="AM6" s="613"/>
      <c r="AN6" s="597"/>
      <c r="AO6" s="597"/>
      <c r="AP6" s="600"/>
      <c r="AQ6" s="600"/>
      <c r="AR6" s="26"/>
      <c r="AS6" s="603"/>
      <c r="AY6" s="28" t="s">
        <v>38</v>
      </c>
      <c r="BC6" s="594"/>
      <c r="BD6" s="594"/>
      <c r="BE6" s="29"/>
      <c r="BF6" s="30" t="s">
        <v>39</v>
      </c>
      <c r="BG6" s="30" t="s">
        <v>40</v>
      </c>
      <c r="BH6" s="30" t="s">
        <v>41</v>
      </c>
      <c r="BI6" s="30"/>
      <c r="BJ6" s="30"/>
      <c r="BK6" s="30"/>
      <c r="BL6" s="30"/>
      <c r="BM6" s="30"/>
      <c r="BS6" s="28" t="s">
        <v>42</v>
      </c>
      <c r="BT6" s="28" t="s">
        <v>35</v>
      </c>
      <c r="BY6" s="31" t="s">
        <v>37</v>
      </c>
      <c r="BZ6" s="641"/>
      <c r="CA6" s="644"/>
      <c r="CB6" s="631"/>
      <c r="CC6" s="635"/>
      <c r="CD6" s="631"/>
      <c r="CE6" s="632"/>
      <c r="CF6" s="635"/>
      <c r="CG6" s="632"/>
    </row>
    <row r="7" spans="1:88" s="32" customFormat="1" ht="19.5" thickBot="1" x14ac:dyDescent="0.3">
      <c r="B7" s="32" t="s">
        <v>43</v>
      </c>
      <c r="D7" s="32">
        <v>2068</v>
      </c>
      <c r="E7" s="33"/>
      <c r="F7" s="34">
        <v>2068</v>
      </c>
      <c r="G7" s="291">
        <v>1</v>
      </c>
      <c r="H7" s="292" t="s">
        <v>44</v>
      </c>
      <c r="I7" s="293">
        <v>2050</v>
      </c>
      <c r="J7" s="294">
        <v>621.66000000000008</v>
      </c>
      <c r="K7" s="295">
        <f>37055632.4/1000000</f>
        <v>37.0556324</v>
      </c>
      <c r="L7" s="296">
        <f>10695736.998/1000000</f>
        <v>10.695736997999999</v>
      </c>
      <c r="M7" s="297">
        <f>6248600.63913106/1000000</f>
        <v>6.2486006391310598</v>
      </c>
      <c r="N7" s="298">
        <f>-767980.428218892/1000000</f>
        <v>-0.76798042821889201</v>
      </c>
      <c r="O7" s="299">
        <f>4896645.52945364/1000000</f>
        <v>4.8966455294536395</v>
      </c>
      <c r="P7" s="300">
        <f>-1715316.71854147/1000000</f>
        <v>-1.7153167185414699</v>
      </c>
      <c r="Q7" s="301">
        <f>M7/K7</f>
        <v>0.16862755361128473</v>
      </c>
      <c r="R7" s="302">
        <f>N7/L7</f>
        <v>-7.1802478722363589E-2</v>
      </c>
      <c r="S7" s="301">
        <f>O7/K7</f>
        <v>0.13214308358298696</v>
      </c>
      <c r="T7" s="302">
        <f>P7/L7</f>
        <v>-0.1603738684732261</v>
      </c>
      <c r="U7" s="303">
        <v>6612</v>
      </c>
      <c r="V7" s="294">
        <v>621.66000000000008</v>
      </c>
      <c r="W7" s="304">
        <f>82334921/1000000</f>
        <v>82.334920999999994</v>
      </c>
      <c r="X7" s="426">
        <f>10695736.998/1000000</f>
        <v>10.695736997999999</v>
      </c>
      <c r="Y7" s="426">
        <v>13.03</v>
      </c>
      <c r="Z7" s="426">
        <f>-3622435.00279009/1000000</f>
        <v>-3.6224350027900902</v>
      </c>
      <c r="AA7" s="426">
        <v>11.28</v>
      </c>
      <c r="AB7" s="300">
        <f>-5368710.35279009/1000000</f>
        <v>-5.3687103527900906</v>
      </c>
      <c r="AC7" s="306">
        <f>Y7/W7</f>
        <v>0.15825605759675168</v>
      </c>
      <c r="AD7" s="307">
        <f t="shared" ref="AD7:AD16" si="0">Z7/X7</f>
        <v>-0.33868026144130609</v>
      </c>
      <c r="AE7" s="306">
        <f t="shared" ref="AE7:AF16" si="1">AA7/W7</f>
        <v>0.13700140672995847</v>
      </c>
      <c r="AF7" s="302">
        <f>AB7/X7</f>
        <v>-0.50194861315251005</v>
      </c>
      <c r="AG7" s="130"/>
      <c r="AH7" s="37"/>
      <c r="AI7" s="38"/>
      <c r="AJ7" s="39"/>
      <c r="AK7" s="39"/>
      <c r="AL7" s="40"/>
      <c r="AM7" s="40"/>
      <c r="AN7" s="40">
        <v>4500</v>
      </c>
      <c r="AO7" s="41"/>
      <c r="AP7" s="41"/>
      <c r="AQ7" s="41">
        <f t="shared" ref="AQ7:AQ14" si="2">AN7-AO7</f>
        <v>4500</v>
      </c>
      <c r="AS7" s="42"/>
      <c r="AY7" s="43">
        <v>1971465.52</v>
      </c>
      <c r="AZ7" s="44"/>
      <c r="BA7" s="45"/>
      <c r="BB7" s="45"/>
      <c r="BC7" s="46"/>
      <c r="BD7" s="46"/>
      <c r="BE7" s="46"/>
      <c r="BF7" s="47"/>
      <c r="BG7" s="47"/>
      <c r="BH7" s="47"/>
      <c r="BI7" s="47"/>
      <c r="BJ7" s="48"/>
      <c r="BK7" s="47"/>
      <c r="BL7" s="47"/>
      <c r="BM7" s="47"/>
      <c r="BN7" s="49"/>
      <c r="BO7" s="49"/>
      <c r="BP7" s="49"/>
      <c r="BQ7" s="49"/>
      <c r="BR7" s="49"/>
      <c r="BS7" s="43">
        <v>1049648.76</v>
      </c>
      <c r="BT7" s="45">
        <f>AY7+BS7</f>
        <v>3021114.2800000003</v>
      </c>
      <c r="BU7" s="50">
        <f>BT7/1000000</f>
        <v>3.0211142800000004</v>
      </c>
      <c r="BV7" s="50">
        <f>AB7+BU7</f>
        <v>-2.3475960727900902</v>
      </c>
      <c r="BW7" s="51">
        <f>BV7/X7</f>
        <v>-0.21948894902979274</v>
      </c>
      <c r="BX7" s="51"/>
      <c r="BY7" s="49">
        <v>16.66</v>
      </c>
      <c r="BZ7" s="201">
        <v>0.1</v>
      </c>
      <c r="CA7" s="233">
        <v>14055</v>
      </c>
      <c r="CB7" s="242">
        <f>W7-X7</f>
        <v>71.639184001999993</v>
      </c>
      <c r="CC7" s="246">
        <f t="shared" ref="CC7:CC10" si="3">CB7/W7</f>
        <v>0.8700947681968384</v>
      </c>
      <c r="CD7" s="242">
        <f t="shared" ref="CD7:CD10" si="4">AA7-AB7</f>
        <v>16.64871035279009</v>
      </c>
      <c r="CE7" s="246">
        <f t="shared" ref="CE7:CE10" si="5">CD7/AA7</f>
        <v>1.4759494993608238</v>
      </c>
      <c r="CF7" s="247">
        <f t="shared" ref="CF7:CF10" si="6">U7-V7</f>
        <v>5990.34</v>
      </c>
      <c r="CG7" s="246">
        <f t="shared" ref="CG7:CG10" si="7">CF7/U7</f>
        <v>0.90598003629764068</v>
      </c>
    </row>
    <row r="8" spans="1:88" s="32" customFormat="1" ht="19.5" thickBot="1" x14ac:dyDescent="0.3">
      <c r="B8" s="32" t="s">
        <v>45</v>
      </c>
      <c r="D8" s="32">
        <v>600</v>
      </c>
      <c r="E8" s="49"/>
      <c r="F8" s="34">
        <v>600</v>
      </c>
      <c r="G8" s="308">
        <v>2</v>
      </c>
      <c r="H8" s="309" t="s">
        <v>46</v>
      </c>
      <c r="I8" s="310">
        <v>2700</v>
      </c>
      <c r="J8" s="311">
        <v>1057.08</v>
      </c>
      <c r="K8" s="305">
        <f>52176160/1000000</f>
        <v>52.176160000000003</v>
      </c>
      <c r="L8" s="312">
        <f>21026350.7875/1000000</f>
        <v>21.0263507875</v>
      </c>
      <c r="M8" s="295">
        <f>10826420.9915385/1000000</f>
        <v>10.8264209915385</v>
      </c>
      <c r="N8" s="313">
        <f>1661080.4255/1000000</f>
        <v>1.6610804254999998</v>
      </c>
      <c r="O8" s="314">
        <f>10373520.0115385/1000000</f>
        <v>10.373520011538499</v>
      </c>
      <c r="P8" s="313">
        <f>339740.329500002/1000000</f>
        <v>0.33974032950000199</v>
      </c>
      <c r="Q8" s="315">
        <f t="shared" ref="Q8:Q13" si="8">M8/K8</f>
        <v>0.20749746611361394</v>
      </c>
      <c r="R8" s="316">
        <f t="shared" ref="R8:R13" si="9">N8/L8</f>
        <v>7.8999938804763928E-2</v>
      </c>
      <c r="S8" s="317">
        <f t="shared" ref="S8:S13" si="10">O8/K8</f>
        <v>0.19881723782544555</v>
      </c>
      <c r="T8" s="316">
        <f t="shared" ref="T8:T13" si="11">P8/L8</f>
        <v>1.6157836085469238E-2</v>
      </c>
      <c r="U8" s="303">
        <v>6612</v>
      </c>
      <c r="V8" s="294">
        <v>621.66000000000008</v>
      </c>
      <c r="W8" s="304">
        <f t="shared" ref="W8:W13" si="12">82334921/1000000</f>
        <v>82.334920999999994</v>
      </c>
      <c r="X8" s="426">
        <f t="shared" ref="X8:X13" si="13">10695736.998/1000000</f>
        <v>10.695736997999999</v>
      </c>
      <c r="Y8" s="426">
        <v>13.03</v>
      </c>
      <c r="Z8" s="426">
        <f t="shared" ref="Z8:Z13" si="14">-3622435.00279009/1000000</f>
        <v>-3.6224350027900902</v>
      </c>
      <c r="AA8" s="426">
        <v>11.28</v>
      </c>
      <c r="AB8" s="300">
        <f t="shared" ref="AB8:AB13" si="15">-5368710.35279009/1000000</f>
        <v>-5.3687103527900906</v>
      </c>
      <c r="AC8" s="319">
        <f>Y8/W8</f>
        <v>0.15825605759675168</v>
      </c>
      <c r="AD8" s="320">
        <f t="shared" si="0"/>
        <v>-0.33868026144130609</v>
      </c>
      <c r="AE8" s="319">
        <f>AA8/W8</f>
        <v>0.13700140672995847</v>
      </c>
      <c r="AF8" s="316">
        <f>AB8/X8</f>
        <v>-0.50194861315251005</v>
      </c>
      <c r="AG8" s="139"/>
      <c r="AH8" s="57"/>
      <c r="AI8" s="58"/>
      <c r="AJ8" s="59"/>
      <c r="AK8" s="59"/>
      <c r="AL8" s="60"/>
      <c r="AM8" s="60"/>
      <c r="AN8" s="40">
        <v>1500</v>
      </c>
      <c r="AO8" s="40"/>
      <c r="AP8" s="61"/>
      <c r="AQ8" s="40">
        <f t="shared" si="2"/>
        <v>1500</v>
      </c>
      <c r="AS8" s="62"/>
      <c r="AT8" s="73"/>
      <c r="AZ8" s="63"/>
      <c r="BA8" s="64">
        <f t="shared" ref="BA8:BA13" si="16">((W8/U8)*V8)*AE8</f>
        <v>1.0605451905626135</v>
      </c>
      <c r="BB8" s="64">
        <f t="shared" ref="BB8:BB14" si="17">AB8-BA8</f>
        <v>-6.4292555433527045</v>
      </c>
      <c r="BC8" s="65">
        <v>0</v>
      </c>
      <c r="BD8" s="65"/>
      <c r="BE8" s="65"/>
      <c r="BF8" s="66"/>
      <c r="BG8" s="66"/>
      <c r="BH8" s="66"/>
      <c r="BI8" s="66"/>
      <c r="BJ8" s="66"/>
      <c r="BK8" s="66"/>
      <c r="BL8" s="66"/>
      <c r="BM8" s="66"/>
      <c r="BY8" s="49">
        <v>-0.94</v>
      </c>
      <c r="BZ8" s="201">
        <v>-0.09</v>
      </c>
      <c r="CA8" s="233">
        <v>578</v>
      </c>
      <c r="CB8" s="45">
        <f>W8-X8</f>
        <v>71.639184001999993</v>
      </c>
      <c r="CC8" s="249">
        <f t="shared" si="3"/>
        <v>0.8700947681968384</v>
      </c>
      <c r="CD8" s="45">
        <f t="shared" si="4"/>
        <v>16.64871035279009</v>
      </c>
      <c r="CE8" s="240">
        <f t="shared" si="5"/>
        <v>1.4759494993608238</v>
      </c>
      <c r="CF8" s="241">
        <f t="shared" si="6"/>
        <v>5990.34</v>
      </c>
      <c r="CG8" s="249">
        <f t="shared" si="7"/>
        <v>0.90598003629764068</v>
      </c>
    </row>
    <row r="9" spans="1:88" s="32" customFormat="1" ht="19.5" thickBot="1" x14ac:dyDescent="0.3">
      <c r="B9" s="32" t="s">
        <v>47</v>
      </c>
      <c r="D9" s="32">
        <v>1045</v>
      </c>
      <c r="E9" s="49"/>
      <c r="F9" s="34">
        <v>1045</v>
      </c>
      <c r="G9" s="308">
        <v>3</v>
      </c>
      <c r="H9" s="309" t="s">
        <v>48</v>
      </c>
      <c r="I9" s="311">
        <v>8139</v>
      </c>
      <c r="J9" s="311">
        <v>3496.9399999999996</v>
      </c>
      <c r="K9" s="295">
        <f>108523963.144701/1000000</f>
        <v>108.523963144701</v>
      </c>
      <c r="L9" s="312">
        <f>47374001.5690249/1000000</f>
        <v>47.374001569024898</v>
      </c>
      <c r="M9" s="321">
        <f>-15268762.5017623/1000000</f>
        <v>-15.2687625017623</v>
      </c>
      <c r="N9" s="322">
        <f>-7134265.65325885/1000000</f>
        <v>-7.1342656532588498</v>
      </c>
      <c r="O9" s="321">
        <f>-17071238.6047256/1000000</f>
        <v>-17.0712386047256</v>
      </c>
      <c r="P9" s="322">
        <f>-9031888.98317684/1000000</f>
        <v>-9.0318889831768399</v>
      </c>
      <c r="Q9" s="323">
        <f t="shared" si="8"/>
        <v>-0.1406948480254413</v>
      </c>
      <c r="R9" s="324">
        <f t="shared" si="9"/>
        <v>-0.15059453322439054</v>
      </c>
      <c r="S9" s="323">
        <f t="shared" si="10"/>
        <v>-0.15730386276037095</v>
      </c>
      <c r="T9" s="324">
        <f t="shared" si="11"/>
        <v>-0.19065075113017826</v>
      </c>
      <c r="U9" s="303">
        <v>6612</v>
      </c>
      <c r="V9" s="294">
        <v>621.66000000000008</v>
      </c>
      <c r="W9" s="304">
        <f t="shared" si="12"/>
        <v>82.334920999999994</v>
      </c>
      <c r="X9" s="426">
        <f t="shared" si="13"/>
        <v>10.695736997999999</v>
      </c>
      <c r="Y9" s="426">
        <v>13.03</v>
      </c>
      <c r="Z9" s="426">
        <f t="shared" si="14"/>
        <v>-3.6224350027900902</v>
      </c>
      <c r="AA9" s="426">
        <v>11.28</v>
      </c>
      <c r="AB9" s="300">
        <f t="shared" si="15"/>
        <v>-5.3687103527900906</v>
      </c>
      <c r="AC9" s="324">
        <f t="shared" ref="AC9:AC16" si="18">Y9/W9</f>
        <v>0.15825605759675168</v>
      </c>
      <c r="AD9" s="324">
        <f t="shared" si="0"/>
        <v>-0.33868026144130609</v>
      </c>
      <c r="AE9" s="324">
        <f t="shared" si="1"/>
        <v>0.13700140672995847</v>
      </c>
      <c r="AF9" s="324">
        <f>AB9/X9</f>
        <v>-0.50194861315251005</v>
      </c>
      <c r="AG9" s="139"/>
      <c r="AH9" s="57"/>
      <c r="AI9" s="38"/>
      <c r="AJ9" s="59"/>
      <c r="AK9" s="59"/>
      <c r="AL9" s="60"/>
      <c r="AM9" s="60"/>
      <c r="AN9" s="40">
        <v>3000</v>
      </c>
      <c r="AO9" s="40"/>
      <c r="AP9" s="61"/>
      <c r="AQ9" s="67">
        <f t="shared" si="2"/>
        <v>3000</v>
      </c>
      <c r="AS9" s="62"/>
      <c r="AZ9" s="63"/>
      <c r="BA9" s="64">
        <f t="shared" si="16"/>
        <v>1.0605451905626135</v>
      </c>
      <c r="BB9" s="64">
        <f t="shared" si="17"/>
        <v>-6.4292555433527045</v>
      </c>
      <c r="BC9" s="65"/>
      <c r="BD9" s="65"/>
      <c r="BE9" s="65"/>
      <c r="BF9" s="68"/>
      <c r="BG9" s="68"/>
      <c r="BH9" s="68"/>
      <c r="BI9" s="68"/>
      <c r="BJ9" s="66"/>
      <c r="BK9" s="66"/>
      <c r="BL9" s="68"/>
      <c r="BM9" s="68"/>
      <c r="BY9" s="49">
        <v>-4.79</v>
      </c>
      <c r="BZ9" s="201">
        <v>-0.14000000000000001</v>
      </c>
      <c r="CA9" s="233">
        <v>2936</v>
      </c>
      <c r="CB9" s="45">
        <f t="shared" ref="CB9:CB10" si="19">W9-X9</f>
        <v>71.639184001999993</v>
      </c>
      <c r="CC9" s="249">
        <f t="shared" si="3"/>
        <v>0.8700947681968384</v>
      </c>
      <c r="CD9" s="45">
        <f t="shared" si="4"/>
        <v>16.64871035279009</v>
      </c>
      <c r="CE9" s="249">
        <f t="shared" si="5"/>
        <v>1.4759494993608238</v>
      </c>
      <c r="CF9" s="241">
        <f t="shared" si="6"/>
        <v>5990.34</v>
      </c>
      <c r="CG9" s="249">
        <f>CF9/U9</f>
        <v>0.90598003629764068</v>
      </c>
    </row>
    <row r="10" spans="1:88" s="32" customFormat="1" ht="19.5" thickBot="1" x14ac:dyDescent="0.3">
      <c r="B10" s="32" t="s">
        <v>49</v>
      </c>
      <c r="D10" s="32">
        <v>0</v>
      </c>
      <c r="E10" s="49"/>
      <c r="F10" s="34"/>
      <c r="G10" s="308">
        <v>4</v>
      </c>
      <c r="H10" s="309" t="s">
        <v>50</v>
      </c>
      <c r="I10" s="311">
        <v>6986</v>
      </c>
      <c r="J10" s="311">
        <v>3277</v>
      </c>
      <c r="K10" s="295">
        <f>130316844/1000000</f>
        <v>130.316844</v>
      </c>
      <c r="L10" s="312">
        <f>69216564.99388/1000000</f>
        <v>69.216564993879999</v>
      </c>
      <c r="M10" s="295">
        <f>29025657.9623077/1000000</f>
        <v>29.025657962307697</v>
      </c>
      <c r="N10" s="312">
        <f>13784141.1224607/1000000</f>
        <v>13.784141122460701</v>
      </c>
      <c r="O10" s="295">
        <f>26699932.3623077/1000000</f>
        <v>26.699932362307703</v>
      </c>
      <c r="P10" s="312">
        <f>11458415.5224607/1000000</f>
        <v>11.458415522460699</v>
      </c>
      <c r="Q10" s="315">
        <f t="shared" si="8"/>
        <v>0.22273143725233016</v>
      </c>
      <c r="R10" s="320">
        <f t="shared" si="9"/>
        <v>0.19914511972212823</v>
      </c>
      <c r="S10" s="315">
        <f t="shared" si="10"/>
        <v>0.20488473740438115</v>
      </c>
      <c r="T10" s="320">
        <f t="shared" si="11"/>
        <v>0.16554441156497482</v>
      </c>
      <c r="U10" s="303">
        <v>6612</v>
      </c>
      <c r="V10" s="294">
        <v>621.66000000000008</v>
      </c>
      <c r="W10" s="304">
        <f t="shared" si="12"/>
        <v>82.334920999999994</v>
      </c>
      <c r="X10" s="426">
        <f t="shared" si="13"/>
        <v>10.695736997999999</v>
      </c>
      <c r="Y10" s="426">
        <v>13.03</v>
      </c>
      <c r="Z10" s="426">
        <f t="shared" si="14"/>
        <v>-3.6224350027900902</v>
      </c>
      <c r="AA10" s="426">
        <v>11.28</v>
      </c>
      <c r="AB10" s="300">
        <f t="shared" si="15"/>
        <v>-5.3687103527900906</v>
      </c>
      <c r="AC10" s="320">
        <f t="shared" si="18"/>
        <v>0.15825605759675168</v>
      </c>
      <c r="AD10" s="320">
        <f t="shared" si="0"/>
        <v>-0.33868026144130609</v>
      </c>
      <c r="AE10" s="320">
        <f t="shared" si="1"/>
        <v>0.13700140672995847</v>
      </c>
      <c r="AF10" s="320">
        <f>AB10/X10</f>
        <v>-0.50194861315251005</v>
      </c>
      <c r="AG10" s="139"/>
      <c r="AH10" s="57"/>
      <c r="AI10" s="38"/>
      <c r="AJ10" s="59"/>
      <c r="AK10" s="59"/>
      <c r="AL10" s="60"/>
      <c r="AM10" s="60"/>
      <c r="AN10" s="40">
        <v>3000</v>
      </c>
      <c r="AO10" s="40"/>
      <c r="AP10" s="61"/>
      <c r="AQ10" s="67">
        <f t="shared" si="2"/>
        <v>3000</v>
      </c>
      <c r="AS10" s="62"/>
      <c r="AY10" s="32">
        <v>250000</v>
      </c>
      <c r="AZ10" s="63"/>
      <c r="BA10" s="64">
        <f t="shared" si="16"/>
        <v>1.0605451905626135</v>
      </c>
      <c r="BB10" s="64">
        <f t="shared" si="17"/>
        <v>-6.4292555433527045</v>
      </c>
      <c r="BC10" s="65"/>
      <c r="BD10" s="65"/>
      <c r="BE10" s="65"/>
      <c r="BF10" s="66"/>
      <c r="BG10" s="66"/>
      <c r="BH10" s="66"/>
      <c r="BI10" s="66"/>
      <c r="BJ10" s="66"/>
      <c r="BK10" s="66"/>
      <c r="BL10" s="66"/>
      <c r="BM10" s="66"/>
      <c r="BS10" s="32">
        <f>AY10/1000000</f>
        <v>0.25</v>
      </c>
      <c r="BT10" s="64">
        <f>BS10+AB10</f>
        <v>-5.1187103527900906</v>
      </c>
      <c r="BU10" s="207">
        <f>BT10/X10</f>
        <v>-0.47857481478342639</v>
      </c>
      <c r="BY10" s="49">
        <v>9.4700000000000006</v>
      </c>
      <c r="BZ10" s="201">
        <v>0.1</v>
      </c>
      <c r="CA10" s="233">
        <v>7445</v>
      </c>
      <c r="CB10" s="45">
        <f t="shared" si="19"/>
        <v>71.639184001999993</v>
      </c>
      <c r="CC10" s="240">
        <f t="shared" si="3"/>
        <v>0.8700947681968384</v>
      </c>
      <c r="CD10" s="45">
        <f t="shared" si="4"/>
        <v>16.64871035279009</v>
      </c>
      <c r="CE10" s="240">
        <f t="shared" si="5"/>
        <v>1.4759494993608238</v>
      </c>
      <c r="CF10" s="241">
        <f t="shared" si="6"/>
        <v>5990.34</v>
      </c>
      <c r="CG10" s="240">
        <f t="shared" si="7"/>
        <v>0.90598003629764068</v>
      </c>
    </row>
    <row r="11" spans="1:88" s="32" customFormat="1" ht="19.5" thickBot="1" x14ac:dyDescent="0.3">
      <c r="B11" s="32" t="s">
        <v>51</v>
      </c>
      <c r="D11" s="32">
        <v>3060</v>
      </c>
      <c r="E11" s="49"/>
      <c r="F11" s="34">
        <v>3060</v>
      </c>
      <c r="G11" s="308">
        <v>5</v>
      </c>
      <c r="H11" s="309" t="s">
        <v>52</v>
      </c>
      <c r="I11" s="325">
        <v>2573.42</v>
      </c>
      <c r="J11" s="311">
        <v>2573.42</v>
      </c>
      <c r="K11" s="295">
        <f>58299952.1043659/1000000</f>
        <v>58.2999521043659</v>
      </c>
      <c r="L11" s="326">
        <f>62639670.5070586/1000000</f>
        <v>62.639670507058597</v>
      </c>
      <c r="M11" s="295">
        <f>4710673.33275888/1000000</f>
        <v>4.7106733327588799</v>
      </c>
      <c r="N11" s="313">
        <f>13710648.328301/1000000</f>
        <v>13.710648328301</v>
      </c>
      <c r="O11" s="295">
        <f>3400866.48888791/1000000</f>
        <v>3.4008664888879099</v>
      </c>
      <c r="P11" s="313">
        <f>12696925.5379784/1000000</f>
        <v>12.6969255379784</v>
      </c>
      <c r="Q11" s="327">
        <f t="shared" si="8"/>
        <v>8.0800638126186597E-2</v>
      </c>
      <c r="R11" s="316">
        <f t="shared" si="9"/>
        <v>0.21888123320757261</v>
      </c>
      <c r="S11" s="315">
        <f t="shared" si="10"/>
        <v>5.8333949962769006E-2</v>
      </c>
      <c r="T11" s="316">
        <f t="shared" si="11"/>
        <v>0.20269783405945019</v>
      </c>
      <c r="U11" s="303">
        <v>6612</v>
      </c>
      <c r="V11" s="294">
        <v>621.66000000000008</v>
      </c>
      <c r="W11" s="304">
        <f t="shared" si="12"/>
        <v>82.334920999999994</v>
      </c>
      <c r="X11" s="426">
        <f t="shared" si="13"/>
        <v>10.695736997999999</v>
      </c>
      <c r="Y11" s="426">
        <v>13.03</v>
      </c>
      <c r="Z11" s="426">
        <f t="shared" si="14"/>
        <v>-3.6224350027900902</v>
      </c>
      <c r="AA11" s="426">
        <v>11.28</v>
      </c>
      <c r="AB11" s="426">
        <f t="shared" si="15"/>
        <v>-5.3687103527900906</v>
      </c>
      <c r="AC11" s="320">
        <f>Y11/W11</f>
        <v>0.15825605759675168</v>
      </c>
      <c r="AD11" s="320">
        <f>Z11/X11</f>
        <v>-0.33868026144130609</v>
      </c>
      <c r="AE11" s="320">
        <f t="shared" si="1"/>
        <v>0.13700140672995847</v>
      </c>
      <c r="AF11" s="316">
        <f t="shared" si="1"/>
        <v>-0.50194861315251005</v>
      </c>
      <c r="AG11" s="139"/>
      <c r="AH11" s="57"/>
      <c r="AI11" s="38"/>
      <c r="AJ11" s="59"/>
      <c r="AK11" s="59"/>
      <c r="AL11" s="60"/>
      <c r="AM11" s="60"/>
      <c r="AN11" s="40">
        <v>3000</v>
      </c>
      <c r="AO11" s="40"/>
      <c r="AP11" s="61"/>
      <c r="AQ11" s="40">
        <f t="shared" si="2"/>
        <v>3000</v>
      </c>
      <c r="AS11" s="62"/>
      <c r="AZ11" s="63"/>
      <c r="BA11" s="64">
        <f t="shared" si="16"/>
        <v>1.0605451905626135</v>
      </c>
      <c r="BB11" s="64">
        <f>AB11-BA11</f>
        <v>-6.4292555433527045</v>
      </c>
      <c r="BC11" s="65">
        <v>13579.679662617418</v>
      </c>
      <c r="BD11" s="65">
        <v>13288.47867526695</v>
      </c>
      <c r="BE11" s="65">
        <f>(BD11-BC11)*V11</f>
        <v>-181028.00579629227</v>
      </c>
      <c r="BF11" s="68">
        <v>-1511037.5052994676</v>
      </c>
      <c r="BG11" s="68"/>
      <c r="BH11" s="68">
        <v>-3387814.1814084724</v>
      </c>
      <c r="BI11" s="68">
        <v>-500358</v>
      </c>
      <c r="BJ11" s="68">
        <v>-31807.428960534977</v>
      </c>
      <c r="BK11" s="66">
        <v>82191.100000000093</v>
      </c>
      <c r="BL11" s="68">
        <v>-513408</v>
      </c>
      <c r="BM11" s="68">
        <f>SUM(BF11:BL11)</f>
        <v>-5862234.0156684741</v>
      </c>
      <c r="BY11" s="49">
        <v>0.15</v>
      </c>
      <c r="BZ11" s="201">
        <v>0</v>
      </c>
      <c r="CA11" s="233">
        <v>3743</v>
      </c>
      <c r="CB11" s="243">
        <f>W11-X11</f>
        <v>71.639184001999993</v>
      </c>
      <c r="CC11" s="244">
        <f>CB11/W11</f>
        <v>0.8700947681968384</v>
      </c>
      <c r="CD11" s="243">
        <f>AA11-AB11</f>
        <v>16.64871035279009</v>
      </c>
      <c r="CE11" s="244">
        <f>CD11/AA11</f>
        <v>1.4759494993608238</v>
      </c>
      <c r="CF11" s="245">
        <f>U11-V11</f>
        <v>5990.34</v>
      </c>
      <c r="CG11" s="244">
        <f>CF11/U11</f>
        <v>0.90598003629764068</v>
      </c>
    </row>
    <row r="12" spans="1:88" s="32" customFormat="1" ht="15" customHeight="1" thickBot="1" x14ac:dyDescent="0.3">
      <c r="B12" s="32" t="s">
        <v>53</v>
      </c>
      <c r="D12" s="32">
        <v>0</v>
      </c>
      <c r="E12" s="49"/>
      <c r="F12" s="53"/>
      <c r="G12" s="329">
        <v>6</v>
      </c>
      <c r="H12" s="309" t="s">
        <v>54</v>
      </c>
      <c r="I12" s="311">
        <v>3360</v>
      </c>
      <c r="J12" s="311">
        <v>1179.8800000000001</v>
      </c>
      <c r="K12" s="295">
        <f>55424780.4371559/1000000</f>
        <v>55.424780437155903</v>
      </c>
      <c r="L12" s="326">
        <f>20886372.4931/1000000</f>
        <v>20.886372493099998</v>
      </c>
      <c r="M12" s="295">
        <f>4633199.08679799/1000000</f>
        <v>4.6331990867979895</v>
      </c>
      <c r="N12" s="330">
        <f>2751852.13337436/1000000</f>
        <v>2.75185213337436</v>
      </c>
      <c r="O12" s="295">
        <f>3845174.57066896/1000000</f>
        <v>3.8451745706689602</v>
      </c>
      <c r="P12" s="313">
        <f>2044945.42240662/1000000</f>
        <v>2.0449454224066201</v>
      </c>
      <c r="Q12" s="317">
        <f t="shared" si="8"/>
        <v>8.3594360685856059E-2</v>
      </c>
      <c r="R12" s="316">
        <f t="shared" si="9"/>
        <v>0.13175347391144437</v>
      </c>
      <c r="S12" s="317">
        <f t="shared" si="10"/>
        <v>6.9376451117002816E-2</v>
      </c>
      <c r="T12" s="316">
        <f t="shared" si="11"/>
        <v>9.7908117988520338E-2</v>
      </c>
      <c r="U12" s="303">
        <v>6612</v>
      </c>
      <c r="V12" s="294">
        <v>621.66000000000008</v>
      </c>
      <c r="W12" s="304">
        <f t="shared" si="12"/>
        <v>82.334920999999994</v>
      </c>
      <c r="X12" s="426">
        <f t="shared" si="13"/>
        <v>10.695736997999999</v>
      </c>
      <c r="Y12" s="426">
        <v>13.03</v>
      </c>
      <c r="Z12" s="426">
        <f t="shared" si="14"/>
        <v>-3.6224350027900902</v>
      </c>
      <c r="AA12" s="426">
        <v>11.28</v>
      </c>
      <c r="AB12" s="300">
        <f t="shared" si="15"/>
        <v>-5.3687103527900906</v>
      </c>
      <c r="AC12" s="320">
        <f t="shared" si="18"/>
        <v>0.15825605759675168</v>
      </c>
      <c r="AD12" s="316">
        <f>Z12/X12</f>
        <v>-0.33868026144130609</v>
      </c>
      <c r="AE12" s="320">
        <f t="shared" si="1"/>
        <v>0.13700140672995847</v>
      </c>
      <c r="AF12" s="316">
        <f>AB12/X12</f>
        <v>-0.50194861315251005</v>
      </c>
      <c r="AG12" s="139"/>
      <c r="AH12" s="57"/>
      <c r="AI12" s="38"/>
      <c r="AJ12" s="59"/>
      <c r="AK12" s="59"/>
      <c r="AL12" s="60"/>
      <c r="AM12" s="60"/>
      <c r="AN12" s="40">
        <v>1500</v>
      </c>
      <c r="AO12" s="40"/>
      <c r="AP12" s="61"/>
      <c r="AQ12" s="71">
        <f t="shared" si="2"/>
        <v>1500</v>
      </c>
      <c r="AR12" s="65"/>
      <c r="AS12" s="72"/>
      <c r="AT12" s="64"/>
      <c r="AZ12" s="63"/>
      <c r="BA12" s="64">
        <f t="shared" si="16"/>
        <v>1.0605451905626135</v>
      </c>
      <c r="BB12" s="64">
        <f t="shared" si="17"/>
        <v>-6.4292555433527045</v>
      </c>
      <c r="BC12" s="65"/>
      <c r="BD12" s="65"/>
      <c r="BE12" s="65"/>
      <c r="BF12" s="68"/>
      <c r="BG12" s="68"/>
      <c r="BH12" s="68"/>
      <c r="BI12" s="68"/>
      <c r="BJ12" s="68"/>
      <c r="BK12" s="66"/>
      <c r="BL12" s="68"/>
      <c r="BM12" s="68"/>
      <c r="BY12" s="49">
        <v>1.47</v>
      </c>
      <c r="BZ12" s="201">
        <v>0.04</v>
      </c>
      <c r="CA12" s="233">
        <v>2858</v>
      </c>
      <c r="CB12" s="45">
        <f t="shared" ref="CB12:CB51" si="20">W12-X12</f>
        <v>71.639184001999993</v>
      </c>
      <c r="CC12" s="240">
        <f t="shared" ref="CC12:CC51" si="21">CB12/W12</f>
        <v>0.8700947681968384</v>
      </c>
      <c r="CD12" s="45">
        <f t="shared" ref="CD12:CD51" si="22">AA12-AB12</f>
        <v>16.64871035279009</v>
      </c>
      <c r="CE12" s="240">
        <f t="shared" ref="CE12:CE51" si="23">CD12/AA12</f>
        <v>1.4759494993608238</v>
      </c>
      <c r="CF12" s="241">
        <f t="shared" ref="CF12:CF51" si="24">U12-V12</f>
        <v>5990.34</v>
      </c>
      <c r="CG12" s="240">
        <f t="shared" ref="CG12:CG51" si="25">CF12/U12</f>
        <v>0.90598003629764068</v>
      </c>
    </row>
    <row r="13" spans="1:88" s="32" customFormat="1" ht="19.5" thickBot="1" x14ac:dyDescent="0.3">
      <c r="C13" s="226"/>
      <c r="D13" s="227"/>
      <c r="E13" s="49" t="s">
        <v>55</v>
      </c>
      <c r="F13" s="34"/>
      <c r="G13" s="331">
        <v>7</v>
      </c>
      <c r="H13" s="332" t="s">
        <v>56</v>
      </c>
      <c r="I13" s="333">
        <v>1919</v>
      </c>
      <c r="J13" s="333">
        <v>1626.04</v>
      </c>
      <c r="K13" s="334">
        <f>36522215.84/1000000</f>
        <v>36.522215840000001</v>
      </c>
      <c r="L13" s="335">
        <f>30022952.018273/1000000</f>
        <v>30.022952018272999</v>
      </c>
      <c r="M13" s="336">
        <f>5393738.56692316/1000000</f>
        <v>5.3937385669231599</v>
      </c>
      <c r="N13" s="335">
        <f>3870343.71764943/1000000</f>
        <v>3.8703437176494302</v>
      </c>
      <c r="O13" s="336">
        <f>4485753.17492316/1000000</f>
        <v>4.4857531749231603</v>
      </c>
      <c r="P13" s="337">
        <f>3015048.54023007/1000000</f>
        <v>3.0150485402300697</v>
      </c>
      <c r="Q13" s="317">
        <f t="shared" si="8"/>
        <v>0.14768377117512702</v>
      </c>
      <c r="R13" s="338">
        <f t="shared" si="9"/>
        <v>0.12891283026711717</v>
      </c>
      <c r="S13" s="317">
        <f t="shared" si="10"/>
        <v>0.12282259090124144</v>
      </c>
      <c r="T13" s="338">
        <f t="shared" si="11"/>
        <v>0.10042478629000265</v>
      </c>
      <c r="U13" s="303">
        <v>6612</v>
      </c>
      <c r="V13" s="294">
        <v>621.66000000000008</v>
      </c>
      <c r="W13" s="304">
        <f t="shared" si="12"/>
        <v>82.334920999999994</v>
      </c>
      <c r="X13" s="426">
        <f t="shared" si="13"/>
        <v>10.695736997999999</v>
      </c>
      <c r="Y13" s="426">
        <v>13.03</v>
      </c>
      <c r="Z13" s="426">
        <f t="shared" si="14"/>
        <v>-3.6224350027900902</v>
      </c>
      <c r="AA13" s="426">
        <v>11.28</v>
      </c>
      <c r="AB13" s="300">
        <f t="shared" si="15"/>
        <v>-5.3687103527900906</v>
      </c>
      <c r="AC13" s="340">
        <f t="shared" si="18"/>
        <v>0.15825605759675168</v>
      </c>
      <c r="AD13" s="340">
        <f>Z13/X13</f>
        <v>-0.33868026144130609</v>
      </c>
      <c r="AE13" s="340">
        <f t="shared" si="1"/>
        <v>0.13700140672995847</v>
      </c>
      <c r="AF13" s="341">
        <f t="shared" si="1"/>
        <v>-0.50194861315251005</v>
      </c>
      <c r="AG13" s="150"/>
      <c r="AH13" s="55"/>
      <c r="AI13" s="38"/>
      <c r="AJ13" s="59"/>
      <c r="AK13" s="228"/>
      <c r="AL13" s="60"/>
      <c r="AM13" s="229"/>
      <c r="AN13" s="40">
        <v>1500</v>
      </c>
      <c r="AO13" s="40"/>
      <c r="AP13" s="61"/>
      <c r="AQ13" s="40">
        <f t="shared" si="2"/>
        <v>1500</v>
      </c>
      <c r="AR13" s="64"/>
      <c r="AS13" s="62"/>
      <c r="AT13" s="64"/>
      <c r="AZ13" s="63"/>
      <c r="BA13" s="64">
        <f t="shared" si="16"/>
        <v>1.0605451905626135</v>
      </c>
      <c r="BB13" s="64">
        <f t="shared" si="17"/>
        <v>-6.4292555433527045</v>
      </c>
      <c r="BC13" s="65"/>
      <c r="BD13" s="65"/>
      <c r="BE13" s="65"/>
      <c r="BF13" s="68"/>
      <c r="BG13" s="68"/>
      <c r="BH13" s="66"/>
      <c r="BI13" s="68"/>
      <c r="BJ13" s="66"/>
      <c r="BK13" s="66"/>
      <c r="BL13" s="66"/>
      <c r="BM13" s="66"/>
      <c r="BY13" s="49">
        <v>-0.52</v>
      </c>
      <c r="BZ13" s="201">
        <v>-0.06</v>
      </c>
      <c r="CA13" s="233">
        <v>641</v>
      </c>
      <c r="CB13" s="45">
        <f t="shared" si="20"/>
        <v>71.639184001999993</v>
      </c>
      <c r="CC13" s="240">
        <f t="shared" si="21"/>
        <v>0.8700947681968384</v>
      </c>
      <c r="CD13" s="45">
        <f t="shared" si="22"/>
        <v>16.64871035279009</v>
      </c>
      <c r="CE13" s="240">
        <f t="shared" si="23"/>
        <v>1.4759494993608238</v>
      </c>
      <c r="CF13" s="241">
        <f t="shared" si="24"/>
        <v>5990.34</v>
      </c>
      <c r="CG13" s="240">
        <f t="shared" si="25"/>
        <v>0.90598003629764068</v>
      </c>
    </row>
    <row r="14" spans="1:88" s="32" customFormat="1" ht="24.75" thickBot="1" x14ac:dyDescent="0.3">
      <c r="A14" s="75"/>
      <c r="B14" s="75"/>
      <c r="C14" s="75"/>
      <c r="D14" s="75"/>
      <c r="E14" s="49"/>
      <c r="F14" s="76"/>
      <c r="G14" s="616" t="s">
        <v>57</v>
      </c>
      <c r="H14" s="617"/>
      <c r="I14" s="342">
        <f t="shared" ref="I14:P14" si="26">SUM(I7:I13)</f>
        <v>27727.42</v>
      </c>
      <c r="J14" s="343">
        <f t="shared" si="26"/>
        <v>13832.02</v>
      </c>
      <c r="K14" s="344">
        <f t="shared" si="26"/>
        <v>478.31954792622281</v>
      </c>
      <c r="L14" s="345">
        <f t="shared" si="26"/>
        <v>261.8616493668365</v>
      </c>
      <c r="M14" s="344">
        <f t="shared" si="26"/>
        <v>45.569528077694983</v>
      </c>
      <c r="N14" s="345">
        <f t="shared" si="26"/>
        <v>27.875819645807749</v>
      </c>
      <c r="O14" s="344">
        <f t="shared" si="26"/>
        <v>36.630653533054272</v>
      </c>
      <c r="P14" s="345">
        <f t="shared" si="26"/>
        <v>18.80786965085748</v>
      </c>
      <c r="Q14" s="346">
        <f t="shared" ref="Q14:Q16" si="27">M14/K14</f>
        <v>9.5270051736885603E-2</v>
      </c>
      <c r="R14" s="347">
        <f>N14/L14</f>
        <v>0.10645247104037406</v>
      </c>
      <c r="S14" s="348">
        <f t="shared" ref="S14:T24" si="28">O14/K14</f>
        <v>7.6581970550583217E-2</v>
      </c>
      <c r="T14" s="346">
        <f t="shared" si="28"/>
        <v>7.1823688945416853E-2</v>
      </c>
      <c r="U14" s="349">
        <f>SUM(U7:U13)</f>
        <v>46284</v>
      </c>
      <c r="V14" s="342">
        <f t="shared" ref="V14:Z14" si="29">SUM(V7:V13)</f>
        <v>4351.62</v>
      </c>
      <c r="W14" s="344">
        <f>SUM(W7:W13)</f>
        <v>576.34444699999995</v>
      </c>
      <c r="X14" s="344">
        <f>SUM(X7:X13)</f>
        <v>74.870158985999993</v>
      </c>
      <c r="Y14" s="344">
        <f>SUM(Y7:Y13)</f>
        <v>91.21</v>
      </c>
      <c r="Z14" s="344">
        <f t="shared" si="29"/>
        <v>-25.357045019530634</v>
      </c>
      <c r="AA14" s="344">
        <f>SUM(AA7:AA13)</f>
        <v>78.959999999999994</v>
      </c>
      <c r="AB14" s="344">
        <f>SUM(AB7:AB13)</f>
        <v>-37.580972469530629</v>
      </c>
      <c r="AC14" s="350">
        <f t="shared" si="18"/>
        <v>0.15825605759675168</v>
      </c>
      <c r="AD14" s="351">
        <f t="shared" si="0"/>
        <v>-0.33868026144130614</v>
      </c>
      <c r="AE14" s="346">
        <f>AA14/W14</f>
        <v>0.13700140672995847</v>
      </c>
      <c r="AF14" s="352">
        <f t="shared" si="1"/>
        <v>-0.50194861315250994</v>
      </c>
      <c r="AG14" s="224">
        <f>SUM(AG7:AG13)</f>
        <v>0</v>
      </c>
      <c r="AH14" s="77">
        <f>SUM(AH7:AH13)</f>
        <v>0</v>
      </c>
      <c r="AI14" s="78"/>
      <c r="AJ14" s="79"/>
      <c r="AK14" s="79"/>
      <c r="AL14" s="79"/>
      <c r="AM14" s="79"/>
      <c r="AN14" s="79"/>
      <c r="AO14" s="79"/>
      <c r="AP14" s="79"/>
      <c r="AQ14" s="80">
        <f t="shared" si="2"/>
        <v>0</v>
      </c>
      <c r="AS14" s="80"/>
      <c r="AT14" s="64">
        <f>X14-L14</f>
        <v>-186.99149038083652</v>
      </c>
      <c r="AU14" s="32">
        <v>301.24</v>
      </c>
      <c r="AY14" s="81" t="s">
        <v>58</v>
      </c>
      <c r="AZ14" s="49"/>
      <c r="BA14" s="45">
        <f>X14*AE14</f>
        <v>10.257317103177641</v>
      </c>
      <c r="BB14" s="45">
        <f t="shared" si="17"/>
        <v>-47.83828957270827</v>
      </c>
      <c r="BC14" s="46"/>
      <c r="BD14" s="46"/>
      <c r="BE14" s="46"/>
      <c r="BF14" s="82"/>
      <c r="BG14" s="82"/>
      <c r="BH14" s="82"/>
      <c r="BI14" s="82"/>
      <c r="BJ14" s="82"/>
      <c r="BK14" s="82"/>
      <c r="BL14" s="82"/>
      <c r="BM14" s="82"/>
      <c r="BN14" s="49"/>
      <c r="BO14" s="49"/>
      <c r="BP14" s="49"/>
      <c r="BQ14" s="49"/>
      <c r="BR14" s="49"/>
      <c r="BS14" s="81" t="s">
        <v>59</v>
      </c>
      <c r="BT14" s="83" t="s">
        <v>60</v>
      </c>
      <c r="BU14" s="84" t="s">
        <v>61</v>
      </c>
      <c r="BY14" s="85">
        <v>21.49</v>
      </c>
      <c r="BZ14" s="86">
        <v>0.05</v>
      </c>
      <c r="CA14" s="234">
        <v>32256</v>
      </c>
      <c r="CB14" s="45">
        <f t="shared" si="20"/>
        <v>501.47428801399997</v>
      </c>
      <c r="CC14" s="240">
        <f t="shared" si="21"/>
        <v>0.8700947681968384</v>
      </c>
      <c r="CD14" s="45">
        <f t="shared" si="22"/>
        <v>116.54097246953063</v>
      </c>
      <c r="CE14" s="240">
        <f t="shared" si="23"/>
        <v>1.4759494993608238</v>
      </c>
      <c r="CF14" s="241">
        <f t="shared" si="24"/>
        <v>41932.379999999997</v>
      </c>
      <c r="CG14" s="240">
        <f t="shared" si="25"/>
        <v>0.90598003629764057</v>
      </c>
    </row>
    <row r="15" spans="1:88" s="87" customFormat="1" ht="19.5" thickBot="1" x14ac:dyDescent="0.3">
      <c r="B15" s="87" t="s">
        <v>62</v>
      </c>
      <c r="D15" s="87">
        <v>1534</v>
      </c>
      <c r="E15" s="88"/>
      <c r="F15" s="89">
        <v>1534</v>
      </c>
      <c r="G15" s="353">
        <v>8</v>
      </c>
      <c r="H15" s="562" t="s">
        <v>63</v>
      </c>
      <c r="I15" s="294">
        <v>1767</v>
      </c>
      <c r="J15" s="294">
        <v>648.2800000000002</v>
      </c>
      <c r="K15" s="297">
        <f>18121600/1000000</f>
        <v>18.121600000000001</v>
      </c>
      <c r="L15" s="296">
        <f>6946012.28/1000000</f>
        <v>6.9460122800000006</v>
      </c>
      <c r="M15" s="297">
        <f>1660622.07306396/1000000</f>
        <v>1.66062207306396</v>
      </c>
      <c r="N15" s="300">
        <f>-1016312.29859677/1000000</f>
        <v>-1.0163122985967701</v>
      </c>
      <c r="O15" s="297">
        <f>1217505.08346978/1000000</f>
        <v>1.21750508346978</v>
      </c>
      <c r="P15" s="355">
        <f>-1610601.14246774/1000000</f>
        <v>-1.61060114246774</v>
      </c>
      <c r="Q15" s="356">
        <f t="shared" si="27"/>
        <v>9.1637718141000787E-2</v>
      </c>
      <c r="R15" s="357">
        <f t="shared" ref="R15:R24" si="30">N15/L15</f>
        <v>-0.1463159374945375</v>
      </c>
      <c r="S15" s="306">
        <f t="shared" si="28"/>
        <v>6.7185297295480534E-2</v>
      </c>
      <c r="T15" s="358">
        <f t="shared" si="28"/>
        <v>-0.23187421466345864</v>
      </c>
      <c r="U15" s="294">
        <v>2170</v>
      </c>
      <c r="V15" s="294">
        <v>759.06000000000017</v>
      </c>
      <c r="W15" s="296">
        <f>22362980/1000000</f>
        <v>22.36298</v>
      </c>
      <c r="X15" s="296">
        <f>8299262.48/1000000</f>
        <v>8.2992624800000012</v>
      </c>
      <c r="Y15" s="296">
        <v>1.65</v>
      </c>
      <c r="Z15" s="359">
        <f>-2968512.9013/1000000</f>
        <v>-2.9685129013</v>
      </c>
      <c r="AA15" s="360">
        <v>1</v>
      </c>
      <c r="AB15" s="361">
        <f>-3714483.5913/1000000</f>
        <v>-3.7144835913000001</v>
      </c>
      <c r="AC15" s="362">
        <f t="shared" si="18"/>
        <v>7.3782653295759323E-2</v>
      </c>
      <c r="AD15" s="302">
        <f t="shared" si="0"/>
        <v>-0.35768393980232321</v>
      </c>
      <c r="AE15" s="363">
        <f t="shared" si="1"/>
        <v>4.4716759573187471E-2</v>
      </c>
      <c r="AF15" s="302">
        <f>AB15/X15</f>
        <v>-0.44756791344427987</v>
      </c>
      <c r="AG15" s="130"/>
      <c r="AH15" s="37"/>
      <c r="AI15" s="38"/>
      <c r="AJ15" s="56"/>
      <c r="AK15" s="36"/>
      <c r="AL15" s="55"/>
      <c r="AM15" s="35"/>
      <c r="AN15" s="71">
        <v>1000</v>
      </c>
      <c r="AO15" s="71"/>
      <c r="AP15" s="90"/>
      <c r="AQ15" s="71">
        <f>AN15-AP15</f>
        <v>1000</v>
      </c>
      <c r="AS15" s="91"/>
      <c r="AY15" s="88">
        <v>74800</v>
      </c>
      <c r="AZ15" s="92"/>
      <c r="BA15" s="93"/>
      <c r="BB15" s="93"/>
      <c r="BC15" s="48"/>
      <c r="BD15" s="48"/>
      <c r="BE15" s="46"/>
      <c r="BF15" s="48"/>
      <c r="BG15" s="48"/>
      <c r="BH15" s="48"/>
      <c r="BI15" s="47"/>
      <c r="BJ15" s="47"/>
      <c r="BK15" s="47"/>
      <c r="BL15" s="47"/>
      <c r="BM15" s="47"/>
      <c r="BN15" s="88"/>
      <c r="BO15" s="88"/>
      <c r="BP15" s="88"/>
      <c r="BQ15" s="88"/>
      <c r="BR15" s="88"/>
      <c r="BS15" s="88">
        <v>68948</v>
      </c>
      <c r="BT15" s="88">
        <v>121929</v>
      </c>
      <c r="BU15" s="88">
        <f>AY15+BS15+BT15</f>
        <v>265677</v>
      </c>
      <c r="BV15" s="88">
        <f>BU15/1000000</f>
        <v>0.265677</v>
      </c>
      <c r="BW15" s="93">
        <f>BV15+AB15</f>
        <v>-3.4488065912999999</v>
      </c>
      <c r="BX15" s="94">
        <f>BW15/X15</f>
        <v>-0.41555579180814139</v>
      </c>
      <c r="BY15" s="88">
        <v>2.15</v>
      </c>
      <c r="BZ15" s="204">
        <v>0.08</v>
      </c>
      <c r="CA15" s="235">
        <v>3100</v>
      </c>
      <c r="CB15" s="45">
        <f t="shared" si="20"/>
        <v>14.063717519999999</v>
      </c>
      <c r="CC15" s="240">
        <f t="shared" si="21"/>
        <v>0.62888387504706433</v>
      </c>
      <c r="CD15" s="45">
        <f t="shared" si="22"/>
        <v>4.7144835913000005</v>
      </c>
      <c r="CE15" s="240">
        <f t="shared" si="23"/>
        <v>4.7144835913000005</v>
      </c>
      <c r="CF15" s="241">
        <f t="shared" si="24"/>
        <v>1410.9399999999998</v>
      </c>
      <c r="CG15" s="240">
        <f t="shared" si="25"/>
        <v>0.65020276497695839</v>
      </c>
      <c r="CI15" s="97"/>
    </row>
    <row r="16" spans="1:88" s="32" customFormat="1" ht="19.5" thickBot="1" x14ac:dyDescent="0.3">
      <c r="B16" s="32" t="s">
        <v>64</v>
      </c>
      <c r="E16" s="49"/>
      <c r="F16" s="34"/>
      <c r="G16" s="364">
        <v>9</v>
      </c>
      <c r="H16" s="309" t="s">
        <v>65</v>
      </c>
      <c r="I16" s="311">
        <v>3970</v>
      </c>
      <c r="J16" s="311">
        <v>1568.47</v>
      </c>
      <c r="K16" s="295">
        <f>36809840/1000000</f>
        <v>36.809840000000001</v>
      </c>
      <c r="L16" s="312">
        <f>14643623.4026928/1000000</f>
        <v>14.6436234026928</v>
      </c>
      <c r="M16" s="314">
        <f>8348937.6/1000000</f>
        <v>8.3489375999999993</v>
      </c>
      <c r="N16" s="313">
        <f>2530448.4026928/1000000</f>
        <v>2.5304484026927998</v>
      </c>
      <c r="O16" s="314">
        <f>7733737.6/1000000</f>
        <v>7.7337375999999995</v>
      </c>
      <c r="P16" s="366">
        <f>1915248.4026928/1000000</f>
        <v>1.9152484026927998</v>
      </c>
      <c r="Q16" s="356">
        <f t="shared" si="27"/>
        <v>0.226812656615731</v>
      </c>
      <c r="R16" s="367">
        <f t="shared" si="30"/>
        <v>0.17280206770596671</v>
      </c>
      <c r="S16" s="320">
        <f t="shared" si="28"/>
        <v>0.21009973420150696</v>
      </c>
      <c r="T16" s="368">
        <f t="shared" si="28"/>
        <v>0.13079060762656644</v>
      </c>
      <c r="U16" s="294">
        <v>2170</v>
      </c>
      <c r="V16" s="294">
        <v>759.06000000000017</v>
      </c>
      <c r="W16" s="296">
        <f t="shared" ref="W16:W25" si="31">22362980/1000000</f>
        <v>22.36298</v>
      </c>
      <c r="X16" s="296">
        <f t="shared" ref="X16:X25" si="32">8299262.48/1000000</f>
        <v>8.2992624800000012</v>
      </c>
      <c r="Y16" s="296">
        <v>1.65</v>
      </c>
      <c r="Z16" s="359">
        <f t="shared" ref="Z16:Z25" si="33">-2968512.9013/1000000</f>
        <v>-2.9685129013</v>
      </c>
      <c r="AA16" s="360">
        <v>1</v>
      </c>
      <c r="AB16" s="361">
        <f t="shared" ref="AB16:AB25" si="34">-3714483.5913/1000000</f>
        <v>-3.7144835913000001</v>
      </c>
      <c r="AC16" s="369">
        <f t="shared" si="18"/>
        <v>7.3782653295759323E-2</v>
      </c>
      <c r="AD16" s="316">
        <f t="shared" si="0"/>
        <v>-0.35768393980232321</v>
      </c>
      <c r="AE16" s="315">
        <f t="shared" si="1"/>
        <v>4.4716759573187471E-2</v>
      </c>
      <c r="AF16" s="316">
        <f>AB16/X16</f>
        <v>-0.44756791344427987</v>
      </c>
      <c r="AG16" s="139"/>
      <c r="AH16" s="57"/>
      <c r="AI16" s="95"/>
      <c r="AJ16" s="96"/>
      <c r="AK16" s="96"/>
      <c r="AL16" s="96"/>
      <c r="AM16" s="96"/>
      <c r="AN16" s="40">
        <v>0</v>
      </c>
      <c r="AO16" s="40"/>
      <c r="AP16" s="40"/>
      <c r="AQ16" s="40">
        <f t="shared" ref="AQ16:AQ25" si="35">AN16-AP16</f>
        <v>0</v>
      </c>
      <c r="AS16" s="62"/>
      <c r="AZ16" s="63"/>
      <c r="BA16" s="97"/>
      <c r="BB16" s="97"/>
      <c r="BC16" s="65"/>
      <c r="BD16" s="65"/>
      <c r="BE16" s="65"/>
      <c r="BF16" s="66"/>
      <c r="BG16" s="66"/>
      <c r="BH16" s="66"/>
      <c r="BI16" s="66"/>
      <c r="BJ16" s="66"/>
      <c r="BK16" s="66"/>
      <c r="BL16" s="66"/>
      <c r="BM16" s="66"/>
      <c r="BY16" s="49">
        <v>-0.69</v>
      </c>
      <c r="BZ16" s="160" t="s">
        <v>66</v>
      </c>
      <c r="CA16" s="236" t="s">
        <v>66</v>
      </c>
      <c r="CB16" s="45">
        <f t="shared" si="20"/>
        <v>14.063717519999999</v>
      </c>
      <c r="CC16" s="240">
        <f t="shared" si="21"/>
        <v>0.62888387504706433</v>
      </c>
      <c r="CD16" s="45">
        <f t="shared" si="22"/>
        <v>4.7144835913000005</v>
      </c>
      <c r="CE16" s="240">
        <f t="shared" si="23"/>
        <v>4.7144835913000005</v>
      </c>
      <c r="CF16" s="241">
        <f t="shared" si="24"/>
        <v>1410.9399999999998</v>
      </c>
      <c r="CG16" s="240">
        <f t="shared" si="25"/>
        <v>0.65020276497695839</v>
      </c>
      <c r="CJ16" s="64"/>
    </row>
    <row r="17" spans="1:88" s="32" customFormat="1" ht="19.5" thickBot="1" x14ac:dyDescent="0.3">
      <c r="B17" s="32" t="s">
        <v>62</v>
      </c>
      <c r="D17" s="32">
        <v>50</v>
      </c>
      <c r="E17" s="49"/>
      <c r="F17" s="34">
        <v>50</v>
      </c>
      <c r="G17" s="370">
        <v>10</v>
      </c>
      <c r="H17" s="309" t="s">
        <v>67</v>
      </c>
      <c r="I17" s="311">
        <v>1822</v>
      </c>
      <c r="J17" s="311">
        <v>1313</v>
      </c>
      <c r="K17" s="295">
        <f>14949510/1000000</f>
        <v>14.94951</v>
      </c>
      <c r="L17" s="312">
        <f>10907413/1000000</f>
        <v>10.907413</v>
      </c>
      <c r="M17" s="295">
        <f>1889769.4/1000000</f>
        <v>1.8897693999999998</v>
      </c>
      <c r="N17" s="312">
        <f>1308679.08488372/1000000</f>
        <v>1.30867908488372</v>
      </c>
      <c r="O17" s="295">
        <f>1520009.4/1000000</f>
        <v>1.5200094</v>
      </c>
      <c r="P17" s="371">
        <f>938919.084883722/1000000</f>
        <v>0.938919084883722</v>
      </c>
      <c r="Q17" s="369">
        <f>M17/K17</f>
        <v>0.12641012314115979</v>
      </c>
      <c r="R17" s="367">
        <f>N17/L17</f>
        <v>0.11998070347970871</v>
      </c>
      <c r="S17" s="320">
        <f>O17/K17</f>
        <v>0.101676202096256</v>
      </c>
      <c r="T17" s="368">
        <f>P17/L17</f>
        <v>8.6080822728883746E-2</v>
      </c>
      <c r="U17" s="294">
        <v>2170</v>
      </c>
      <c r="V17" s="294">
        <v>759.06000000000017</v>
      </c>
      <c r="W17" s="296">
        <f t="shared" si="31"/>
        <v>22.36298</v>
      </c>
      <c r="X17" s="296">
        <f t="shared" si="32"/>
        <v>8.2992624800000012</v>
      </c>
      <c r="Y17" s="296">
        <v>1.65</v>
      </c>
      <c r="Z17" s="359">
        <f t="shared" si="33"/>
        <v>-2.9685129013</v>
      </c>
      <c r="AA17" s="360">
        <v>1</v>
      </c>
      <c r="AB17" s="361">
        <f t="shared" si="34"/>
        <v>-3.7144835913000001</v>
      </c>
      <c r="AC17" s="372">
        <f t="shared" ref="AC17:AD32" si="36">Y17/W17</f>
        <v>7.3782653295759323E-2</v>
      </c>
      <c r="AD17" s="320">
        <f t="shared" si="36"/>
        <v>-0.35768393980232321</v>
      </c>
      <c r="AE17" s="315">
        <f>AA17/W17</f>
        <v>4.4716759573187471E-2</v>
      </c>
      <c r="AF17" s="320">
        <f t="shared" ref="AE17:AF24" si="37">AB17/X17</f>
        <v>-0.44756791344427987</v>
      </c>
      <c r="AG17" s="139"/>
      <c r="AH17" s="57"/>
      <c r="AI17" s="95"/>
      <c r="AJ17" s="59"/>
      <c r="AK17" s="59"/>
      <c r="AL17" s="60"/>
      <c r="AM17" s="60"/>
      <c r="AN17" s="40">
        <v>2000</v>
      </c>
      <c r="AO17" s="40"/>
      <c r="AP17" s="40"/>
      <c r="AQ17" s="67">
        <f t="shared" si="35"/>
        <v>2000</v>
      </c>
      <c r="AR17" s="64"/>
      <c r="AS17" s="100"/>
      <c r="AT17" s="64">
        <f>(X14/V14)*1000000</f>
        <v>17205.123376121996</v>
      </c>
      <c r="AZ17" s="63"/>
      <c r="BA17" s="97"/>
      <c r="BB17" s="97"/>
      <c r="BC17" s="65"/>
      <c r="BD17" s="65"/>
      <c r="BE17" s="65"/>
      <c r="BF17" s="66"/>
      <c r="BG17" s="66"/>
      <c r="BH17" s="66"/>
      <c r="BI17" s="66"/>
      <c r="BJ17" s="66"/>
      <c r="BK17" s="66"/>
      <c r="BL17" s="66"/>
      <c r="BM17" s="66"/>
      <c r="BY17" s="49">
        <v>2.0099999999999998</v>
      </c>
      <c r="BZ17" s="201">
        <v>0.14000000000000001</v>
      </c>
      <c r="CA17" s="236">
        <v>2027</v>
      </c>
      <c r="CB17" s="45">
        <f t="shared" si="20"/>
        <v>14.063717519999999</v>
      </c>
      <c r="CC17" s="240">
        <f t="shared" si="21"/>
        <v>0.62888387504706433</v>
      </c>
      <c r="CD17" s="45">
        <f t="shared" si="22"/>
        <v>4.7144835913000005</v>
      </c>
      <c r="CE17" s="240">
        <f t="shared" si="23"/>
        <v>4.7144835913000005</v>
      </c>
      <c r="CF17" s="241">
        <f t="shared" si="24"/>
        <v>1410.9399999999998</v>
      </c>
      <c r="CG17" s="240">
        <f t="shared" si="25"/>
        <v>0.65020276497695839</v>
      </c>
      <c r="CJ17" s="250"/>
    </row>
    <row r="18" spans="1:88" s="32" customFormat="1" ht="19.5" thickBot="1" x14ac:dyDescent="0.3">
      <c r="B18" s="32" t="s">
        <v>68</v>
      </c>
      <c r="E18" s="49"/>
      <c r="F18" s="34"/>
      <c r="G18" s="364">
        <v>11</v>
      </c>
      <c r="H18" s="309" t="s">
        <v>69</v>
      </c>
      <c r="I18" s="311">
        <v>1456</v>
      </c>
      <c r="J18" s="311">
        <v>1606.81</v>
      </c>
      <c r="K18" s="295">
        <f>13975275.24/1000000</f>
        <v>13.97527524</v>
      </c>
      <c r="L18" s="312">
        <f>15413360.8793/1000000</f>
        <v>15.413360879300001</v>
      </c>
      <c r="M18" s="373">
        <f>2043280.90081/1000000</f>
        <v>2.0432809008100001</v>
      </c>
      <c r="N18" s="313">
        <f>2982783.6353/1000000</f>
        <v>2.9827836353000001</v>
      </c>
      <c r="O18" s="295">
        <f>1548766.8288/1000000</f>
        <v>1.5487668288000001</v>
      </c>
      <c r="P18" s="366">
        <f>2494488.6353/1000000</f>
        <v>2.4944886353000002</v>
      </c>
      <c r="Q18" s="367">
        <f t="shared" ref="Q18:Q24" si="38">M18/K18</f>
        <v>0.1462068449973512</v>
      </c>
      <c r="R18" s="367">
        <f t="shared" si="30"/>
        <v>0.19351935367359435</v>
      </c>
      <c r="S18" s="316">
        <f>O18/K18</f>
        <v>0.11082191958317381</v>
      </c>
      <c r="T18" s="368">
        <f>P18/L18</f>
        <v>0.16183937136319665</v>
      </c>
      <c r="U18" s="294">
        <v>2170</v>
      </c>
      <c r="V18" s="294">
        <v>759.06000000000017</v>
      </c>
      <c r="W18" s="296">
        <f t="shared" si="31"/>
        <v>22.36298</v>
      </c>
      <c r="X18" s="296">
        <f t="shared" si="32"/>
        <v>8.2992624800000012</v>
      </c>
      <c r="Y18" s="296">
        <v>1.65</v>
      </c>
      <c r="Z18" s="359">
        <f t="shared" si="33"/>
        <v>-2.9685129013</v>
      </c>
      <c r="AA18" s="360">
        <v>1</v>
      </c>
      <c r="AB18" s="361">
        <f t="shared" si="34"/>
        <v>-3.7144835913000001</v>
      </c>
      <c r="AC18" s="369">
        <f t="shared" si="36"/>
        <v>7.3782653295759323E-2</v>
      </c>
      <c r="AD18" s="320">
        <f>Z18/X18</f>
        <v>-0.35768393980232321</v>
      </c>
      <c r="AE18" s="317">
        <f t="shared" si="37"/>
        <v>4.4716759573187471E-2</v>
      </c>
      <c r="AF18" s="320">
        <f t="shared" si="37"/>
        <v>-0.44756791344427987</v>
      </c>
      <c r="AG18" s="139"/>
      <c r="AH18" s="57"/>
      <c r="AI18" s="95"/>
      <c r="AJ18" s="96"/>
      <c r="AK18" s="96"/>
      <c r="AL18" s="96"/>
      <c r="AM18" s="96"/>
      <c r="AN18" s="40">
        <v>1000</v>
      </c>
      <c r="AO18" s="40"/>
      <c r="AP18" s="40"/>
      <c r="AQ18" s="40">
        <f t="shared" si="35"/>
        <v>1000</v>
      </c>
      <c r="AR18" s="64"/>
      <c r="AS18" s="100"/>
      <c r="AT18" s="64"/>
      <c r="AZ18" s="63"/>
      <c r="BA18" s="97"/>
      <c r="BB18" s="97"/>
      <c r="BC18" s="65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T18" s="64"/>
      <c r="BU18" s="51"/>
      <c r="BY18" s="49">
        <v>1.41</v>
      </c>
      <c r="BZ18" s="201">
        <v>7.0000000000000007E-2</v>
      </c>
      <c r="CA18" s="236">
        <v>2701</v>
      </c>
      <c r="CB18" s="45">
        <f t="shared" si="20"/>
        <v>14.063717519999999</v>
      </c>
      <c r="CC18" s="240">
        <f t="shared" si="21"/>
        <v>0.62888387504706433</v>
      </c>
      <c r="CD18" s="45">
        <f t="shared" si="22"/>
        <v>4.7144835913000005</v>
      </c>
      <c r="CE18" s="240">
        <f t="shared" si="23"/>
        <v>4.7144835913000005</v>
      </c>
      <c r="CF18" s="241">
        <f t="shared" si="24"/>
        <v>1410.9399999999998</v>
      </c>
      <c r="CG18" s="240">
        <f t="shared" si="25"/>
        <v>0.65020276497695839</v>
      </c>
    </row>
    <row r="19" spans="1:88" s="32" customFormat="1" ht="19.5" hidden="1" thickBot="1" x14ac:dyDescent="0.3">
      <c r="A19" s="101" t="s">
        <v>70</v>
      </c>
      <c r="B19" s="101" t="s">
        <v>71</v>
      </c>
      <c r="C19" s="101"/>
      <c r="D19" s="101">
        <v>606</v>
      </c>
      <c r="E19" s="101"/>
      <c r="F19" s="101">
        <v>606</v>
      </c>
      <c r="G19" s="618">
        <v>12</v>
      </c>
      <c r="H19" s="309" t="s">
        <v>72</v>
      </c>
      <c r="I19" s="311"/>
      <c r="J19" s="374"/>
      <c r="K19" s="375"/>
      <c r="L19" s="375"/>
      <c r="M19" s="375"/>
      <c r="N19" s="375"/>
      <c r="O19" s="371"/>
      <c r="P19" s="375"/>
      <c r="Q19" s="367" t="e">
        <f t="shared" si="38"/>
        <v>#DIV/0!</v>
      </c>
      <c r="R19" s="376" t="e">
        <f t="shared" si="30"/>
        <v>#DIV/0!</v>
      </c>
      <c r="S19" s="316" t="e">
        <f>O19/K19</f>
        <v>#DIV/0!</v>
      </c>
      <c r="T19" s="377" t="e">
        <f t="shared" si="28"/>
        <v>#DIV/0!</v>
      </c>
      <c r="U19" s="294">
        <v>2170</v>
      </c>
      <c r="V19" s="294">
        <v>759.06000000000017</v>
      </c>
      <c r="W19" s="296">
        <f t="shared" si="31"/>
        <v>22.36298</v>
      </c>
      <c r="X19" s="296">
        <f t="shared" si="32"/>
        <v>8.2992624800000012</v>
      </c>
      <c r="Y19" s="296">
        <v>1.65</v>
      </c>
      <c r="Z19" s="359">
        <f t="shared" si="33"/>
        <v>-2.9685129013</v>
      </c>
      <c r="AA19" s="360">
        <v>1</v>
      </c>
      <c r="AB19" s="361">
        <f t="shared" si="34"/>
        <v>-3.7144835913000001</v>
      </c>
      <c r="AC19" s="369">
        <f t="shared" si="36"/>
        <v>7.3782653295759323E-2</v>
      </c>
      <c r="AD19" s="324">
        <f t="shared" ref="AD19:AD24" si="39">Z19/X19</f>
        <v>-0.35768393980232321</v>
      </c>
      <c r="AE19" s="315">
        <f t="shared" si="37"/>
        <v>4.4716759573187471E-2</v>
      </c>
      <c r="AF19" s="324">
        <f t="shared" si="37"/>
        <v>-0.44756791344427987</v>
      </c>
      <c r="AG19" s="150"/>
      <c r="AH19" s="55"/>
      <c r="AI19" s="38"/>
      <c r="AJ19" s="96"/>
      <c r="AK19" s="96"/>
      <c r="AL19" s="102"/>
      <c r="AM19" s="102"/>
      <c r="AN19" s="40">
        <v>500</v>
      </c>
      <c r="AO19" s="40"/>
      <c r="AP19" s="40"/>
      <c r="AQ19" s="40">
        <f t="shared" si="35"/>
        <v>500</v>
      </c>
      <c r="AR19" s="64"/>
      <c r="AS19" s="103"/>
      <c r="AT19" s="64"/>
      <c r="AY19" s="32">
        <v>639000</v>
      </c>
      <c r="AZ19" s="63"/>
      <c r="BA19" s="97">
        <f t="shared" ref="BA19:BA27" si="40">X19*AE19</f>
        <v>0.37111612495293567</v>
      </c>
      <c r="BB19" s="97">
        <f t="shared" ref="BB19:BB24" si="41">AB19-BA19</f>
        <v>-4.0855997162529354</v>
      </c>
      <c r="BC19" s="65"/>
      <c r="BD19" s="65"/>
      <c r="BE19" s="65"/>
      <c r="BF19" s="66"/>
      <c r="BG19" s="66"/>
      <c r="BH19" s="66"/>
      <c r="BI19" s="66"/>
      <c r="BJ19" s="66"/>
      <c r="BK19" s="66"/>
      <c r="BL19" s="66"/>
      <c r="BM19" s="66"/>
      <c r="BS19" s="32">
        <f>AY19/1000000</f>
        <v>0.63900000000000001</v>
      </c>
      <c r="BY19" s="49">
        <v>0.69</v>
      </c>
      <c r="BZ19" s="52">
        <v>0.04</v>
      </c>
      <c r="CA19" s="236">
        <v>1924</v>
      </c>
      <c r="CB19" s="45">
        <f t="shared" si="20"/>
        <v>14.063717519999999</v>
      </c>
      <c r="CC19" s="240">
        <f t="shared" si="21"/>
        <v>0.62888387504706433</v>
      </c>
      <c r="CD19" s="45">
        <f t="shared" si="22"/>
        <v>4.7144835913000005</v>
      </c>
      <c r="CE19" s="240">
        <f t="shared" si="23"/>
        <v>4.7144835913000005</v>
      </c>
      <c r="CF19" s="241">
        <f t="shared" si="24"/>
        <v>1410.9399999999998</v>
      </c>
      <c r="CG19" s="240">
        <f t="shared" si="25"/>
        <v>0.65020276497695839</v>
      </c>
    </row>
    <row r="20" spans="1:88" s="32" customFormat="1" ht="19.5" hidden="1" thickBot="1" x14ac:dyDescent="0.3">
      <c r="C20" s="49"/>
      <c r="D20" s="34"/>
      <c r="E20" s="104"/>
      <c r="F20" s="104"/>
      <c r="G20" s="619"/>
      <c r="H20" s="309" t="s">
        <v>73</v>
      </c>
      <c r="I20" s="311"/>
      <c r="J20" s="311"/>
      <c r="K20" s="295"/>
      <c r="L20" s="378"/>
      <c r="M20" s="295"/>
      <c r="N20" s="312"/>
      <c r="O20" s="295"/>
      <c r="P20" s="371"/>
      <c r="Q20" s="366">
        <v>0</v>
      </c>
      <c r="R20" s="376" t="e">
        <f t="shared" si="30"/>
        <v>#DIV/0!</v>
      </c>
      <c r="S20" s="313">
        <v>0</v>
      </c>
      <c r="T20" s="377" t="e">
        <f t="shared" si="28"/>
        <v>#DIV/0!</v>
      </c>
      <c r="U20" s="294">
        <v>2170</v>
      </c>
      <c r="V20" s="294">
        <v>759.06000000000017</v>
      </c>
      <c r="W20" s="296">
        <f t="shared" si="31"/>
        <v>22.36298</v>
      </c>
      <c r="X20" s="296">
        <f t="shared" si="32"/>
        <v>8.2992624800000012</v>
      </c>
      <c r="Y20" s="296">
        <v>1.65</v>
      </c>
      <c r="Z20" s="359">
        <f t="shared" si="33"/>
        <v>-2.9685129013</v>
      </c>
      <c r="AA20" s="360">
        <v>1</v>
      </c>
      <c r="AB20" s="361">
        <f t="shared" si="34"/>
        <v>-3.7144835913000001</v>
      </c>
      <c r="AC20" s="371">
        <v>0</v>
      </c>
      <c r="AD20" s="324">
        <f t="shared" si="39"/>
        <v>-0.35768393980232321</v>
      </c>
      <c r="AE20" s="295">
        <v>0</v>
      </c>
      <c r="AF20" s="324">
        <f t="shared" si="37"/>
        <v>-0.44756791344427987</v>
      </c>
      <c r="AG20" s="150"/>
      <c r="AH20" s="57"/>
      <c r="AI20" s="38"/>
      <c r="AJ20" s="96"/>
      <c r="AK20" s="96"/>
      <c r="AL20" s="102"/>
      <c r="AM20" s="102"/>
      <c r="AN20" s="40"/>
      <c r="AO20" s="40"/>
      <c r="AP20" s="40"/>
      <c r="AQ20" s="40"/>
      <c r="AR20" s="64"/>
      <c r="AS20" s="103"/>
      <c r="AT20" s="64"/>
      <c r="AZ20" s="63"/>
      <c r="BA20" s="97">
        <f t="shared" si="40"/>
        <v>0</v>
      </c>
      <c r="BB20" s="97">
        <f t="shared" si="41"/>
        <v>-3.7144835913000001</v>
      </c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S20" s="64">
        <f>BS19+AB17</f>
        <v>-3.0754835913000003</v>
      </c>
      <c r="BY20" s="49">
        <v>0.31</v>
      </c>
      <c r="BZ20" s="52">
        <v>0.26</v>
      </c>
      <c r="CA20" s="236">
        <v>158</v>
      </c>
      <c r="CB20" s="45">
        <f t="shared" si="20"/>
        <v>14.063717519999999</v>
      </c>
      <c r="CC20" s="240">
        <f t="shared" si="21"/>
        <v>0.62888387504706433</v>
      </c>
      <c r="CD20" s="45">
        <f t="shared" si="22"/>
        <v>4.7144835913000005</v>
      </c>
      <c r="CE20" s="240">
        <f t="shared" si="23"/>
        <v>4.7144835913000005</v>
      </c>
      <c r="CF20" s="241">
        <f t="shared" si="24"/>
        <v>1410.9399999999998</v>
      </c>
      <c r="CG20" s="240">
        <f t="shared" si="25"/>
        <v>0.65020276497695839</v>
      </c>
    </row>
    <row r="21" spans="1:88" s="105" customFormat="1" ht="19.5" thickBot="1" x14ac:dyDescent="0.3">
      <c r="C21" s="99"/>
      <c r="D21" s="106"/>
      <c r="E21" s="205"/>
      <c r="F21" s="205"/>
      <c r="G21" s="620"/>
      <c r="H21" s="309" t="s">
        <v>143</v>
      </c>
      <c r="I21" s="311">
        <v>1400</v>
      </c>
      <c r="J21" s="374">
        <v>1143.99</v>
      </c>
      <c r="K21" s="371">
        <f>15429400/1000000</f>
        <v>15.429399999999999</v>
      </c>
      <c r="L21" s="371">
        <f>12954021.1275/1000000</f>
        <v>12.954021127499999</v>
      </c>
      <c r="M21" s="371">
        <f>1792911.70749043/1000000</f>
        <v>1.7929117074904299</v>
      </c>
      <c r="N21" s="366">
        <f>1240294.83556452/1000000</f>
        <v>1.24029483556452</v>
      </c>
      <c r="O21" s="371">
        <f>1389187.41716785/1000000</f>
        <v>1.38918741716785</v>
      </c>
      <c r="P21" s="366">
        <f>950064.512983871/1000000</f>
        <v>0.95006451298387107</v>
      </c>
      <c r="Q21" s="367">
        <f t="shared" si="38"/>
        <v>0.11620099987623822</v>
      </c>
      <c r="R21" s="367">
        <f t="shared" si="30"/>
        <v>9.5745932738329945E-2</v>
      </c>
      <c r="S21" s="316">
        <f t="shared" ref="S21:S24" si="42">O21/K21</f>
        <v>9.0035089969010468E-2</v>
      </c>
      <c r="T21" s="368">
        <f t="shared" si="28"/>
        <v>7.3341281725022509E-2</v>
      </c>
      <c r="U21" s="294">
        <v>2170</v>
      </c>
      <c r="V21" s="294">
        <v>759.06000000000017</v>
      </c>
      <c r="W21" s="296">
        <f t="shared" si="31"/>
        <v>22.36298</v>
      </c>
      <c r="X21" s="296">
        <f t="shared" si="32"/>
        <v>8.2992624800000012</v>
      </c>
      <c r="Y21" s="296">
        <v>1.65</v>
      </c>
      <c r="Z21" s="359">
        <f t="shared" si="33"/>
        <v>-2.9685129013</v>
      </c>
      <c r="AA21" s="360">
        <v>1</v>
      </c>
      <c r="AB21" s="361">
        <f t="shared" si="34"/>
        <v>-3.7144835913000001</v>
      </c>
      <c r="AC21" s="369">
        <f t="shared" si="36"/>
        <v>7.3782653295759323E-2</v>
      </c>
      <c r="AD21" s="320">
        <f t="shared" si="39"/>
        <v>-0.35768393980232321</v>
      </c>
      <c r="AE21" s="315">
        <f t="shared" si="37"/>
        <v>4.4716759573187471E-2</v>
      </c>
      <c r="AF21" s="320">
        <f t="shared" si="37"/>
        <v>-0.44756791344427987</v>
      </c>
      <c r="AG21" s="225"/>
      <c r="AH21" s="107"/>
      <c r="AI21" s="108"/>
      <c r="AJ21" s="109"/>
      <c r="AK21" s="109"/>
      <c r="AL21" s="110"/>
      <c r="AM21" s="110"/>
      <c r="AN21" s="111"/>
      <c r="AO21" s="111"/>
      <c r="AP21" s="111"/>
      <c r="AQ21" s="111"/>
      <c r="AR21" s="112"/>
      <c r="AS21" s="113"/>
      <c r="AT21" s="112"/>
      <c r="AZ21" s="63"/>
      <c r="BA21" s="97">
        <f>X22*AE21</f>
        <v>0.37111612495293567</v>
      </c>
      <c r="BB21" s="97">
        <f>AB22-BA21</f>
        <v>-4.0855997162529354</v>
      </c>
      <c r="BC21" s="65"/>
      <c r="BD21" s="65"/>
      <c r="BE21" s="65"/>
      <c r="BF21" s="66"/>
      <c r="BG21" s="66"/>
      <c r="BH21" s="66"/>
      <c r="BI21" s="66"/>
      <c r="BJ21" s="66"/>
      <c r="BK21" s="68"/>
      <c r="BL21" s="68"/>
      <c r="BM21" s="68"/>
      <c r="BS21" s="114">
        <f>BS20/X17</f>
        <v>-0.37057312004668636</v>
      </c>
      <c r="BY21" s="99">
        <v>1.01</v>
      </c>
      <c r="BZ21" s="206">
        <v>0.05</v>
      </c>
      <c r="CA21" s="236">
        <v>2082</v>
      </c>
      <c r="CB21" s="45">
        <f>W21-X22</f>
        <v>14.063717519999999</v>
      </c>
      <c r="CC21" s="240">
        <f t="shared" si="21"/>
        <v>0.62888387504706433</v>
      </c>
      <c r="CD21" s="45">
        <f>AA21-AB22</f>
        <v>4.7144835913000005</v>
      </c>
      <c r="CE21" s="240">
        <f t="shared" si="23"/>
        <v>4.7144835913000005</v>
      </c>
      <c r="CF21" s="241">
        <f t="shared" si="24"/>
        <v>1410.9399999999998</v>
      </c>
      <c r="CG21" s="240">
        <f t="shared" si="25"/>
        <v>0.65020276497695839</v>
      </c>
    </row>
    <row r="22" spans="1:88" s="32" customFormat="1" ht="15" customHeight="1" thickBot="1" x14ac:dyDescent="0.3">
      <c r="E22" s="49" t="s">
        <v>74</v>
      </c>
      <c r="F22" s="34"/>
      <c r="G22" s="364">
        <v>13</v>
      </c>
      <c r="H22" s="309" t="s">
        <v>75</v>
      </c>
      <c r="I22" s="311">
        <v>2180</v>
      </c>
      <c r="J22" s="311">
        <v>1213.3900000000001</v>
      </c>
      <c r="K22" s="378">
        <f>15606291.2/1000000</f>
        <v>15.606291199999999</v>
      </c>
      <c r="L22" s="378">
        <f>9906331.7/1000000</f>
        <v>9.9063316999999991</v>
      </c>
      <c r="M22" s="314">
        <f>946987.319239501/1000000</f>
        <v>0.94698731923950108</v>
      </c>
      <c r="N22" s="322">
        <f>-545694.367373275/1000000</f>
        <v>-0.54569436737327504</v>
      </c>
      <c r="O22" s="295">
        <f>758192.803110469/1000000</f>
        <v>0.75819280311046899</v>
      </c>
      <c r="P22" s="379">
        <f>-777699.206082952/1000000</f>
        <v>-0.77769920608295195</v>
      </c>
      <c r="Q22" s="367">
        <f t="shared" si="38"/>
        <v>6.0679844243807339E-2</v>
      </c>
      <c r="R22" s="380">
        <f t="shared" si="30"/>
        <v>-5.508541243104903E-2</v>
      </c>
      <c r="S22" s="316">
        <f t="shared" si="42"/>
        <v>4.8582510309077731E-2</v>
      </c>
      <c r="T22" s="381">
        <f t="shared" si="28"/>
        <v>-7.8505266089863718E-2</v>
      </c>
      <c r="U22" s="294">
        <v>2170</v>
      </c>
      <c r="V22" s="294">
        <v>759.06000000000017</v>
      </c>
      <c r="W22" s="296">
        <f t="shared" si="31"/>
        <v>22.36298</v>
      </c>
      <c r="X22" s="296">
        <f t="shared" si="32"/>
        <v>8.2992624800000012</v>
      </c>
      <c r="Y22" s="296">
        <v>1.65</v>
      </c>
      <c r="Z22" s="359">
        <f t="shared" si="33"/>
        <v>-2.9685129013</v>
      </c>
      <c r="AA22" s="360">
        <v>1</v>
      </c>
      <c r="AB22" s="361">
        <f t="shared" si="34"/>
        <v>-3.7144835913000001</v>
      </c>
      <c r="AC22" s="369">
        <f t="shared" si="36"/>
        <v>7.3782653295759323E-2</v>
      </c>
      <c r="AD22" s="324">
        <f t="shared" si="39"/>
        <v>-0.35768393980232321</v>
      </c>
      <c r="AE22" s="317">
        <f t="shared" si="37"/>
        <v>4.4716759573187471E-2</v>
      </c>
      <c r="AF22" s="324">
        <f t="shared" si="37"/>
        <v>-0.44756791344427987</v>
      </c>
      <c r="AG22" s="139"/>
      <c r="AH22" s="57"/>
      <c r="AI22" s="38"/>
      <c r="AJ22" s="96"/>
      <c r="AK22" s="96"/>
      <c r="AL22" s="102"/>
      <c r="AM22" s="102"/>
      <c r="AN22" s="40">
        <v>1000</v>
      </c>
      <c r="AO22" s="40"/>
      <c r="AP22" s="40"/>
      <c r="AQ22" s="40">
        <f t="shared" si="35"/>
        <v>1000</v>
      </c>
      <c r="AS22" s="103"/>
      <c r="AZ22" s="63"/>
      <c r="BA22" s="97" t="e">
        <f>#REF!*AE22</f>
        <v>#REF!</v>
      </c>
      <c r="BB22" s="97" t="e">
        <f>#REF!-BA22</f>
        <v>#REF!</v>
      </c>
      <c r="BC22" s="65"/>
      <c r="BD22" s="65"/>
      <c r="BE22" s="65"/>
      <c r="BF22" s="66"/>
      <c r="BG22" s="66"/>
      <c r="BH22" s="66"/>
      <c r="BI22" s="66"/>
      <c r="BJ22" s="66"/>
      <c r="BK22" s="66"/>
      <c r="BL22" s="66"/>
      <c r="BM22" s="66"/>
      <c r="BY22" s="49">
        <v>0.08</v>
      </c>
      <c r="BZ22" s="206">
        <v>0</v>
      </c>
      <c r="CA22" s="236">
        <v>2867</v>
      </c>
      <c r="CB22" s="45" t="e">
        <f>W22-#REF!</f>
        <v>#REF!</v>
      </c>
      <c r="CC22" s="240" t="e">
        <f t="shared" si="21"/>
        <v>#REF!</v>
      </c>
      <c r="CD22" s="45" t="e">
        <f>AA22-#REF!</f>
        <v>#REF!</v>
      </c>
      <c r="CE22" s="240" t="e">
        <f t="shared" si="23"/>
        <v>#REF!</v>
      </c>
      <c r="CF22" s="241">
        <f t="shared" si="24"/>
        <v>1410.9399999999998</v>
      </c>
      <c r="CG22" s="240">
        <f t="shared" si="25"/>
        <v>0.65020276497695839</v>
      </c>
    </row>
    <row r="23" spans="1:88" s="32" customFormat="1" ht="15" customHeight="1" thickBot="1" x14ac:dyDescent="0.3">
      <c r="A23" s="115" t="s">
        <v>76</v>
      </c>
      <c r="E23" s="49"/>
      <c r="F23" s="34"/>
      <c r="G23" s="382">
        <v>14</v>
      </c>
      <c r="H23" s="563" t="s">
        <v>77</v>
      </c>
      <c r="I23" s="383">
        <v>2543.81</v>
      </c>
      <c r="J23" s="383">
        <v>1538.3387000000002</v>
      </c>
      <c r="K23" s="384">
        <f>22680073.5218911/1000000</f>
        <v>22.680073521891099</v>
      </c>
      <c r="L23" s="378">
        <f>14743009.1129565/1000000</f>
        <v>14.7430091129565</v>
      </c>
      <c r="M23" s="385">
        <f>3169526.68511608/1000000</f>
        <v>3.1695266851160802</v>
      </c>
      <c r="N23" s="378">
        <f>882775.66724308/1000000</f>
        <v>0.88277566724307999</v>
      </c>
      <c r="O23" s="384">
        <f>2187421.20382576/1000000</f>
        <v>2.1874212038257603</v>
      </c>
      <c r="P23" s="386">
        <f>-132832.846305307/1000000</f>
        <v>-0.13283284630530701</v>
      </c>
      <c r="Q23" s="369">
        <f t="shared" si="38"/>
        <v>0.13974940081463194</v>
      </c>
      <c r="R23" s="367">
        <f t="shared" si="30"/>
        <v>5.9877577262519369E-2</v>
      </c>
      <c r="S23" s="320">
        <f t="shared" si="42"/>
        <v>9.6446830373562636E-2</v>
      </c>
      <c r="T23" s="381">
        <f t="shared" si="28"/>
        <v>-9.0098870106897246E-3</v>
      </c>
      <c r="U23" s="294">
        <v>2170</v>
      </c>
      <c r="V23" s="294">
        <v>759.06000000000017</v>
      </c>
      <c r="W23" s="296">
        <f t="shared" si="31"/>
        <v>22.36298</v>
      </c>
      <c r="X23" s="296">
        <f t="shared" si="32"/>
        <v>8.2992624800000012</v>
      </c>
      <c r="Y23" s="296">
        <v>1.65</v>
      </c>
      <c r="Z23" s="359">
        <f t="shared" si="33"/>
        <v>-2.9685129013</v>
      </c>
      <c r="AA23" s="360">
        <v>1</v>
      </c>
      <c r="AB23" s="361">
        <f t="shared" si="34"/>
        <v>-3.7144835913000001</v>
      </c>
      <c r="AC23" s="369">
        <f t="shared" si="36"/>
        <v>7.3782653295759323E-2</v>
      </c>
      <c r="AD23" s="320">
        <f t="shared" si="39"/>
        <v>-0.35768393980232321</v>
      </c>
      <c r="AE23" s="315">
        <f t="shared" si="37"/>
        <v>4.4716759573187471E-2</v>
      </c>
      <c r="AF23" s="324">
        <f t="shared" si="37"/>
        <v>-0.44756791344427987</v>
      </c>
      <c r="AG23" s="150"/>
      <c r="AH23" s="74"/>
      <c r="AI23" s="38"/>
      <c r="AJ23" s="96"/>
      <c r="AK23" s="96"/>
      <c r="AL23" s="102"/>
      <c r="AM23" s="102"/>
      <c r="AN23" s="40"/>
      <c r="AO23" s="40"/>
      <c r="AP23" s="40"/>
      <c r="AQ23" s="40"/>
      <c r="AS23" s="103"/>
      <c r="AV23" s="32">
        <v>472533</v>
      </c>
      <c r="AY23" s="32">
        <f>AV23/1000000</f>
        <v>0.47253299999999998</v>
      </c>
      <c r="AZ23" s="63"/>
      <c r="BA23" s="97">
        <f t="shared" si="40"/>
        <v>0.37111612495293567</v>
      </c>
      <c r="BB23" s="97">
        <f t="shared" si="41"/>
        <v>-4.0855997162529354</v>
      </c>
      <c r="BC23" s="65"/>
      <c r="BD23" s="65"/>
      <c r="BE23" s="65"/>
      <c r="BF23" s="66"/>
      <c r="BG23" s="66"/>
      <c r="BH23" s="66"/>
      <c r="BI23" s="66"/>
      <c r="BJ23" s="68"/>
      <c r="BK23" s="68"/>
      <c r="BL23" s="68"/>
      <c r="BM23" s="68"/>
      <c r="BS23" s="64">
        <f>AY23+AB23</f>
        <v>-3.2419505913000002</v>
      </c>
      <c r="BT23" s="116">
        <f>BS23/X23</f>
        <v>-0.39063116742151766</v>
      </c>
      <c r="BU23" s="32" t="s">
        <v>78</v>
      </c>
      <c r="BY23" s="49">
        <v>3.25</v>
      </c>
      <c r="BZ23" s="201">
        <v>0.09</v>
      </c>
      <c r="CA23" s="236">
        <v>3866</v>
      </c>
      <c r="CB23" s="45">
        <f t="shared" si="20"/>
        <v>14.063717519999999</v>
      </c>
      <c r="CC23" s="240">
        <f t="shared" si="21"/>
        <v>0.62888387504706433</v>
      </c>
      <c r="CD23" s="45">
        <f t="shared" si="22"/>
        <v>4.7144835913000005</v>
      </c>
      <c r="CE23" s="240">
        <f t="shared" si="23"/>
        <v>4.7144835913000005</v>
      </c>
      <c r="CF23" s="241">
        <f t="shared" si="24"/>
        <v>1410.9399999999998</v>
      </c>
      <c r="CG23" s="240">
        <f t="shared" si="25"/>
        <v>0.65020276497695839</v>
      </c>
    </row>
    <row r="24" spans="1:88" s="32" customFormat="1" ht="15" customHeight="1" thickBot="1" x14ac:dyDescent="0.3">
      <c r="E24" s="49"/>
      <c r="F24" s="34"/>
      <c r="G24" s="382">
        <v>15</v>
      </c>
      <c r="H24" s="563" t="s">
        <v>79</v>
      </c>
      <c r="I24" s="383">
        <v>445</v>
      </c>
      <c r="J24" s="383">
        <v>264.55</v>
      </c>
      <c r="K24" s="384">
        <f>7042695/1000000</f>
        <v>7.0426950000000001</v>
      </c>
      <c r="L24" s="387">
        <f>4284495.7847246/1000000</f>
        <v>4.2844957847245997</v>
      </c>
      <c r="M24" s="385">
        <f>602794.783671567/1000000</f>
        <v>0.60279478367156702</v>
      </c>
      <c r="N24" s="378">
        <f>393350.637921234/1000000</f>
        <v>0.39335063792123404</v>
      </c>
      <c r="O24" s="384">
        <f>591794.783671567/1000000</f>
        <v>0.59179478367156702</v>
      </c>
      <c r="P24" s="388">
        <f>393350.637921234/1000000</f>
        <v>0.39335063792123404</v>
      </c>
      <c r="Q24" s="372">
        <f t="shared" si="38"/>
        <v>8.5591493550631823E-2</v>
      </c>
      <c r="R24" s="367">
        <f t="shared" si="30"/>
        <v>9.1807918057391191E-2</v>
      </c>
      <c r="S24" s="320">
        <f t="shared" si="42"/>
        <v>8.4029591466273493E-2</v>
      </c>
      <c r="T24" s="368">
        <f t="shared" si="28"/>
        <v>9.1807918057391191E-2</v>
      </c>
      <c r="U24" s="294">
        <v>2170</v>
      </c>
      <c r="V24" s="294">
        <v>759.06000000000017</v>
      </c>
      <c r="W24" s="296">
        <f t="shared" si="31"/>
        <v>22.36298</v>
      </c>
      <c r="X24" s="296">
        <f t="shared" si="32"/>
        <v>8.2992624800000012</v>
      </c>
      <c r="Y24" s="296">
        <v>1.65</v>
      </c>
      <c r="Z24" s="359">
        <f t="shared" si="33"/>
        <v>-2.9685129013</v>
      </c>
      <c r="AA24" s="360">
        <v>1</v>
      </c>
      <c r="AB24" s="361">
        <f t="shared" si="34"/>
        <v>-3.7144835913000001</v>
      </c>
      <c r="AC24" s="372">
        <f t="shared" si="36"/>
        <v>7.3782653295759323E-2</v>
      </c>
      <c r="AD24" s="320">
        <f t="shared" si="39"/>
        <v>-0.35768393980232321</v>
      </c>
      <c r="AE24" s="389">
        <f t="shared" si="37"/>
        <v>4.4716759573187471E-2</v>
      </c>
      <c r="AF24" s="320">
        <f t="shared" si="37"/>
        <v>-0.44756791344427987</v>
      </c>
      <c r="AG24" s="150"/>
      <c r="AH24" s="74"/>
      <c r="AI24" s="38"/>
      <c r="AJ24" s="96"/>
      <c r="AK24" s="96"/>
      <c r="AL24" s="102"/>
      <c r="AM24" s="60"/>
      <c r="AN24" s="40">
        <v>500</v>
      </c>
      <c r="AO24" s="40"/>
      <c r="AP24" s="40"/>
      <c r="AQ24" s="40">
        <f t="shared" si="35"/>
        <v>500</v>
      </c>
      <c r="AS24" s="103"/>
      <c r="AV24" s="32" t="s">
        <v>80</v>
      </c>
      <c r="AZ24" s="63"/>
      <c r="BA24" s="97">
        <f t="shared" si="40"/>
        <v>0.37111612495293567</v>
      </c>
      <c r="BB24" s="97">
        <f t="shared" si="41"/>
        <v>-4.0855997162529354</v>
      </c>
      <c r="BC24" s="65"/>
      <c r="BD24" s="65"/>
      <c r="BE24" s="65"/>
      <c r="BF24" s="66"/>
      <c r="BG24" s="66"/>
      <c r="BH24" s="66"/>
      <c r="BI24" s="66"/>
      <c r="BJ24" s="68"/>
      <c r="BK24" s="66"/>
      <c r="BL24" s="68"/>
      <c r="BM24" s="68"/>
      <c r="BS24" s="32" t="s">
        <v>81</v>
      </c>
      <c r="BY24" s="49">
        <v>2.97</v>
      </c>
      <c r="BZ24" s="201">
        <v>0.18</v>
      </c>
      <c r="CA24" s="236">
        <v>1184</v>
      </c>
      <c r="CB24" s="45">
        <f t="shared" si="20"/>
        <v>14.063717519999999</v>
      </c>
      <c r="CC24" s="240">
        <f t="shared" si="21"/>
        <v>0.62888387504706433</v>
      </c>
      <c r="CD24" s="45">
        <f t="shared" si="22"/>
        <v>4.7144835913000005</v>
      </c>
      <c r="CE24" s="240">
        <f t="shared" si="23"/>
        <v>4.7144835913000005</v>
      </c>
      <c r="CF24" s="241">
        <f t="shared" si="24"/>
        <v>1410.9399999999998</v>
      </c>
      <c r="CG24" s="240">
        <f t="shared" si="25"/>
        <v>0.65020276497695839</v>
      </c>
    </row>
    <row r="25" spans="1:88" s="32" customFormat="1" ht="15.75" customHeight="1" thickBot="1" x14ac:dyDescent="0.3">
      <c r="B25" s="32" t="s">
        <v>82</v>
      </c>
      <c r="D25" s="32">
        <v>549</v>
      </c>
      <c r="E25" s="49"/>
      <c r="F25" s="34">
        <v>549</v>
      </c>
      <c r="G25" s="390">
        <v>16</v>
      </c>
      <c r="H25" s="459" t="s">
        <v>83</v>
      </c>
      <c r="I25" s="391"/>
      <c r="J25" s="392"/>
      <c r="K25" s="393"/>
      <c r="L25" s="394"/>
      <c r="M25" s="395">
        <f>-138077.419354839/1000000</f>
        <v>-0.138077419354839</v>
      </c>
      <c r="N25" s="396">
        <f>-138077.419354839/1000000</f>
        <v>-0.138077419354839</v>
      </c>
      <c r="O25" s="395">
        <f>-138077.419354839/1000000</f>
        <v>-0.138077419354839</v>
      </c>
      <c r="P25" s="396">
        <f>-138077.419354839/1000000</f>
        <v>-0.138077419354839</v>
      </c>
      <c r="Q25" s="369"/>
      <c r="R25" s="397"/>
      <c r="S25" s="398"/>
      <c r="T25" s="399"/>
      <c r="U25" s="294">
        <v>2170</v>
      </c>
      <c r="V25" s="294">
        <v>759.06000000000017</v>
      </c>
      <c r="W25" s="296">
        <f t="shared" si="31"/>
        <v>22.36298</v>
      </c>
      <c r="X25" s="296">
        <f t="shared" si="32"/>
        <v>8.2992624800000012</v>
      </c>
      <c r="Y25" s="296">
        <v>1.65</v>
      </c>
      <c r="Z25" s="359">
        <f t="shared" si="33"/>
        <v>-2.9685129013</v>
      </c>
      <c r="AA25" s="360">
        <v>1</v>
      </c>
      <c r="AB25" s="361">
        <f t="shared" si="34"/>
        <v>-3.7144835913000001</v>
      </c>
      <c r="AC25" s="372">
        <f t="shared" ref="AC25:AC26" si="43">Y25/W25</f>
        <v>7.3782653295759323E-2</v>
      </c>
      <c r="AD25" s="320">
        <f t="shared" ref="AD25:AD26" si="44">Z25/X25</f>
        <v>-0.35768393980232321</v>
      </c>
      <c r="AE25" s="389">
        <f t="shared" ref="AE25:AE26" si="45">AA25/W25</f>
        <v>4.4716759573187471E-2</v>
      </c>
      <c r="AF25" s="320">
        <f t="shared" ref="AF25:AF26" si="46">AB25/X25</f>
        <v>-0.44756791344427987</v>
      </c>
      <c r="AG25" s="258"/>
      <c r="AH25" s="259"/>
      <c r="AI25" s="162"/>
      <c r="AJ25" s="260"/>
      <c r="AK25" s="260"/>
      <c r="AL25" s="261"/>
      <c r="AM25" s="69"/>
      <c r="AN25" s="67">
        <v>250</v>
      </c>
      <c r="AO25" s="67"/>
      <c r="AP25" s="67"/>
      <c r="AQ25" s="67">
        <f t="shared" si="35"/>
        <v>250</v>
      </c>
      <c r="AR25" s="262"/>
      <c r="AS25" s="263"/>
      <c r="AT25" s="262"/>
      <c r="AU25" s="262"/>
      <c r="AV25" s="262"/>
      <c r="AW25" s="262"/>
      <c r="AX25" s="262"/>
      <c r="AY25" s="262"/>
      <c r="AZ25" s="262"/>
      <c r="BA25" s="264">
        <f t="shared" si="40"/>
        <v>0.37111612495293567</v>
      </c>
      <c r="BB25" s="262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5">
        <v>-0.2</v>
      </c>
      <c r="BZ25" s="232">
        <v>0</v>
      </c>
      <c r="CA25" s="236" t="s">
        <v>66</v>
      </c>
      <c r="CB25" s="266">
        <f t="shared" si="20"/>
        <v>14.063717519999999</v>
      </c>
      <c r="CC25" s="257">
        <f t="shared" si="21"/>
        <v>0.62888387504706433</v>
      </c>
      <c r="CD25" s="266">
        <f t="shared" si="22"/>
        <v>4.7144835913000005</v>
      </c>
      <c r="CE25" s="257">
        <f t="shared" si="23"/>
        <v>4.7144835913000005</v>
      </c>
      <c r="CF25" s="267">
        <f t="shared" si="24"/>
        <v>1410.9399999999998</v>
      </c>
      <c r="CG25" s="257">
        <f t="shared" si="25"/>
        <v>0.65020276497695839</v>
      </c>
      <c r="CH25" s="262"/>
      <c r="CI25" s="262"/>
      <c r="CJ25" s="262"/>
    </row>
    <row r="26" spans="1:88" s="32" customFormat="1" ht="15" hidden="1" customHeight="1" x14ac:dyDescent="0.25">
      <c r="E26" s="49"/>
      <c r="F26" s="34"/>
      <c r="G26" s="402"/>
      <c r="H26" s="403"/>
      <c r="I26" s="404"/>
      <c r="J26" s="405"/>
      <c r="K26" s="406"/>
      <c r="L26" s="407"/>
      <c r="M26" s="408"/>
      <c r="N26" s="409"/>
      <c r="O26" s="408"/>
      <c r="P26" s="409"/>
      <c r="Q26" s="410"/>
      <c r="R26" s="411"/>
      <c r="S26" s="410"/>
      <c r="T26" s="410"/>
      <c r="U26" s="412"/>
      <c r="V26" s="412"/>
      <c r="W26" s="408"/>
      <c r="X26" s="408"/>
      <c r="Y26" s="413"/>
      <c r="Z26" s="414"/>
      <c r="AA26" s="413"/>
      <c r="AB26" s="414"/>
      <c r="AC26" s="372" t="e">
        <f t="shared" si="43"/>
        <v>#DIV/0!</v>
      </c>
      <c r="AD26" s="320" t="e">
        <f t="shared" si="44"/>
        <v>#DIV/0!</v>
      </c>
      <c r="AE26" s="389" t="e">
        <f t="shared" si="45"/>
        <v>#DIV/0!</v>
      </c>
      <c r="AF26" s="320" t="e">
        <f t="shared" si="46"/>
        <v>#DIV/0!</v>
      </c>
      <c r="AG26" s="54">
        <v>0</v>
      </c>
      <c r="AH26" s="54"/>
      <c r="AI26" s="38"/>
      <c r="AJ26" s="117"/>
      <c r="AK26" s="118"/>
      <c r="AN26" s="62"/>
      <c r="AO26" s="62"/>
      <c r="AP26" s="62"/>
      <c r="AQ26" s="40">
        <f>AN26-AO26</f>
        <v>0</v>
      </c>
      <c r="BA26" s="97" t="e">
        <f t="shared" si="40"/>
        <v>#DIV/0!</v>
      </c>
      <c r="BC26" s="119"/>
      <c r="BD26" s="119"/>
      <c r="BE26" s="119"/>
      <c r="BF26" s="120"/>
      <c r="BG26" s="120"/>
      <c r="BH26" s="120"/>
      <c r="BI26" s="120"/>
      <c r="BJ26" s="120"/>
      <c r="BK26" s="120"/>
      <c r="BL26" s="66"/>
      <c r="BM26" s="120"/>
      <c r="BY26" s="49"/>
      <c r="BZ26" s="98"/>
      <c r="CA26" s="236"/>
      <c r="CB26" s="45">
        <f t="shared" si="20"/>
        <v>0</v>
      </c>
      <c r="CC26" s="240" t="e">
        <f t="shared" si="21"/>
        <v>#DIV/0!</v>
      </c>
      <c r="CD26" s="45">
        <f t="shared" si="22"/>
        <v>0</v>
      </c>
      <c r="CE26" s="240" t="e">
        <f t="shared" si="23"/>
        <v>#DIV/0!</v>
      </c>
      <c r="CF26" s="241">
        <f t="shared" si="24"/>
        <v>0</v>
      </c>
      <c r="CG26" s="240" t="e">
        <f t="shared" si="25"/>
        <v>#DIV/0!</v>
      </c>
    </row>
    <row r="27" spans="1:88" s="127" customFormat="1" ht="24" customHeight="1" thickBot="1" x14ac:dyDescent="0.3">
      <c r="A27" s="121"/>
      <c r="B27" s="121"/>
      <c r="C27" s="121"/>
      <c r="D27" s="121"/>
      <c r="E27" s="88"/>
      <c r="F27" s="122"/>
      <c r="G27" s="621" t="s">
        <v>84</v>
      </c>
      <c r="H27" s="622"/>
      <c r="I27" s="349">
        <f>I15+I16+I17+I18+I21+I22+I24+I25+I23</f>
        <v>15583.81</v>
      </c>
      <c r="J27" s="349">
        <f t="shared" ref="J27:P27" si="47">J15+J16+J17+J18+J21+J22+J24+J25+J23</f>
        <v>9296.8287</v>
      </c>
      <c r="K27" s="416">
        <f t="shared" si="47"/>
        <v>144.6146849618911</v>
      </c>
      <c r="L27" s="416">
        <f>L15+L16+L17+L18+L21+L22+L24+L25+L23</f>
        <v>89.7982672871739</v>
      </c>
      <c r="M27" s="417">
        <f t="shared" si="47"/>
        <v>20.316753050036695</v>
      </c>
      <c r="N27" s="418">
        <f t="shared" si="47"/>
        <v>7.6382481782804703</v>
      </c>
      <c r="O27" s="419">
        <f t="shared" si="47"/>
        <v>16.808537700690586</v>
      </c>
      <c r="P27" s="419">
        <f t="shared" si="47"/>
        <v>4.0328606595707894</v>
      </c>
      <c r="Q27" s="420">
        <f>M27/K27</f>
        <v>0.14048886567356952</v>
      </c>
      <c r="R27" s="421">
        <f>N27/L27</f>
        <v>8.5060084220260443E-2</v>
      </c>
      <c r="S27" s="421">
        <f>O27/K27</f>
        <v>0.11622981238122516</v>
      </c>
      <c r="T27" s="422">
        <f>P27/L27</f>
        <v>4.4910228018918717E-2</v>
      </c>
      <c r="U27" s="423">
        <f t="shared" ref="U27:W27" si="48">U15+U16+U17+U18+U21+U22+U24+U25+U23</f>
        <v>19530</v>
      </c>
      <c r="V27" s="423">
        <f t="shared" si="48"/>
        <v>6831.5400000000027</v>
      </c>
      <c r="W27" s="424">
        <f t="shared" si="48"/>
        <v>201.26681999999997</v>
      </c>
      <c r="X27" s="424">
        <f>X15+X16+X17+X18+X21+X22+X24+X25+X23</f>
        <v>74.693362320000006</v>
      </c>
      <c r="Y27" s="424">
        <f>Y15+Y16+Y17+Y18+Y21+Y22+Y24+Y25+Y23</f>
        <v>14.850000000000001</v>
      </c>
      <c r="Z27" s="424">
        <f>Z15+Z16+Z17+Z18+Z21+Z22+Z24+Z25+Z23</f>
        <v>-26.716616111699995</v>
      </c>
      <c r="AA27" s="424">
        <f>AA15+AA16+AA17+AA18+AA21+AA22+AA24+AA25+AA23</f>
        <v>9</v>
      </c>
      <c r="AB27" s="424">
        <f>AB15+AB16+AB17+AB18+AB21+AB22+AB24+AB25+AB23</f>
        <v>-33.430352321699999</v>
      </c>
      <c r="AC27" s="421">
        <f>Y27/W27</f>
        <v>7.3782653295759351E-2</v>
      </c>
      <c r="AD27" s="425">
        <f t="shared" si="36"/>
        <v>-0.35768393980232316</v>
      </c>
      <c r="AE27" s="425">
        <f>AA27/W27</f>
        <v>4.4716759573187478E-2</v>
      </c>
      <c r="AF27" s="351">
        <f>AB27/X27</f>
        <v>-0.44756791344427987</v>
      </c>
      <c r="AG27" s="123">
        <f>SUM(AG15:AG26)</f>
        <v>0</v>
      </c>
      <c r="AH27" s="123">
        <f>SUM(AH15:AH25)</f>
        <v>0</v>
      </c>
      <c r="AI27" s="124"/>
      <c r="AJ27" s="125"/>
      <c r="AK27" s="125"/>
      <c r="AL27" s="125"/>
      <c r="AM27" s="125"/>
      <c r="AN27" s="125"/>
      <c r="AO27" s="125"/>
      <c r="AP27" s="125"/>
      <c r="AQ27" s="126">
        <f>AN27-AO27</f>
        <v>0</v>
      </c>
      <c r="AS27" s="126"/>
      <c r="AT27" s="64">
        <f>X27-L27</f>
        <v>-15.104904967173894</v>
      </c>
      <c r="BA27" s="97">
        <f t="shared" si="40"/>
        <v>3.3400451245764211</v>
      </c>
      <c r="BC27" s="65"/>
      <c r="BD27" s="65"/>
      <c r="BE27" s="65"/>
      <c r="BF27" s="66"/>
      <c r="BG27" s="66"/>
      <c r="BH27" s="66"/>
      <c r="BI27" s="66"/>
      <c r="BJ27" s="66"/>
      <c r="BK27" s="66"/>
      <c r="BL27" s="66"/>
      <c r="BM27" s="66"/>
      <c r="BY27" s="128">
        <v>11.99</v>
      </c>
      <c r="BZ27" s="129">
        <v>0.08</v>
      </c>
      <c r="CA27" s="237">
        <v>17827</v>
      </c>
      <c r="CB27" s="45">
        <f t="shared" si="20"/>
        <v>126.57345767999996</v>
      </c>
      <c r="CC27" s="240">
        <f t="shared" si="21"/>
        <v>0.62888387504706433</v>
      </c>
      <c r="CD27" s="45">
        <f t="shared" si="22"/>
        <v>42.430352321699999</v>
      </c>
      <c r="CE27" s="240">
        <f t="shared" si="23"/>
        <v>4.7144835912999996</v>
      </c>
      <c r="CF27" s="241">
        <f t="shared" si="24"/>
        <v>12698.459999999997</v>
      </c>
      <c r="CG27" s="240">
        <f t="shared" si="25"/>
        <v>0.65020276497695839</v>
      </c>
    </row>
    <row r="28" spans="1:88" s="87" customFormat="1" ht="15" customHeight="1" thickBot="1" x14ac:dyDescent="0.35">
      <c r="B28" s="87" t="s">
        <v>85</v>
      </c>
      <c r="D28" s="87">
        <v>1754</v>
      </c>
      <c r="E28" s="88"/>
      <c r="F28" s="89">
        <v>1754</v>
      </c>
      <c r="G28" s="353">
        <v>17</v>
      </c>
      <c r="H28" s="354" t="s">
        <v>86</v>
      </c>
      <c r="I28" s="294">
        <v>4732</v>
      </c>
      <c r="J28" s="294">
        <v>3066.4306976744192</v>
      </c>
      <c r="K28" s="426">
        <f>18923665/1000000</f>
        <v>18.923665</v>
      </c>
      <c r="L28" s="296">
        <f>13092625.3372/1000000</f>
        <v>13.092625337200001</v>
      </c>
      <c r="M28" s="427">
        <f>2611739.53966982/1000000</f>
        <v>2.61173953966982</v>
      </c>
      <c r="N28" s="426">
        <f>678032.76022839/1000000</f>
        <v>0.67803276022838999</v>
      </c>
      <c r="O28" s="426">
        <f>2016671.44934724/1000000</f>
        <v>2.01667144934724</v>
      </c>
      <c r="P28" s="296">
        <f>210915.857002584/1000000</f>
        <v>0.210915857002584</v>
      </c>
      <c r="Q28" s="428">
        <f t="shared" ref="Q28:Q33" si="49">M28/K28</f>
        <v>0.13801446705328063</v>
      </c>
      <c r="R28" s="429">
        <f>N28/L28</f>
        <v>5.1787379747429217E-2</v>
      </c>
      <c r="S28" s="429">
        <f>O28/K28</f>
        <v>0.10656875659906472</v>
      </c>
      <c r="T28" s="428">
        <f>P28/L28</f>
        <v>1.6109515973340351E-2</v>
      </c>
      <c r="U28" s="294">
        <v>5600</v>
      </c>
      <c r="V28" s="400">
        <v>3412.1800000000003</v>
      </c>
      <c r="W28" s="296">
        <f>22309700/1000000</f>
        <v>22.309699999999999</v>
      </c>
      <c r="X28" s="394">
        <f t="shared" ref="X28:X39" si="50">12324611.8855/1000000</f>
        <v>12.324611885500001</v>
      </c>
      <c r="Y28" s="394">
        <v>3.38</v>
      </c>
      <c r="Z28" s="401">
        <f t="shared" ref="Z28:Z39" si="51">1379336.43006535/1000000</f>
        <v>1.3793364300653499</v>
      </c>
      <c r="AA28" s="430">
        <v>2.33</v>
      </c>
      <c r="AB28" s="431">
        <f>176050.138799997/1000000</f>
        <v>0.17605013879999698</v>
      </c>
      <c r="AC28" s="306">
        <f t="shared" si="36"/>
        <v>0.15150360605476543</v>
      </c>
      <c r="AD28" s="306">
        <f t="shared" si="36"/>
        <v>0.11191723056919542</v>
      </c>
      <c r="AE28" s="306">
        <f t="shared" ref="AE28:AF36" si="52">AA28/W28</f>
        <v>0.10443887636319628</v>
      </c>
      <c r="AF28" s="432">
        <f>AB28/X28</f>
        <v>1.4284436738094876E-2</v>
      </c>
      <c r="AG28" s="130"/>
      <c r="AH28" s="37"/>
      <c r="AI28" s="38"/>
      <c r="AJ28" s="131"/>
      <c r="AK28" s="132"/>
      <c r="AL28" s="133"/>
      <c r="AM28" s="134"/>
      <c r="AN28" s="71">
        <v>1000</v>
      </c>
      <c r="AO28" s="135"/>
      <c r="AP28" s="71"/>
      <c r="AQ28" s="71">
        <f t="shared" ref="AQ28:AQ40" si="53">AN28-AP28</f>
        <v>1000</v>
      </c>
      <c r="AR28" s="97"/>
      <c r="AS28" s="136"/>
      <c r="AT28" s="97">
        <f>X28-L28</f>
        <v>-0.76801345169999991</v>
      </c>
      <c r="AU28" s="87">
        <v>2.1349999999999998</v>
      </c>
      <c r="AZ28" s="137"/>
      <c r="BA28" s="97">
        <f>X28*AE28</f>
        <v>1.2871686169341141</v>
      </c>
      <c r="BB28" s="97">
        <f>AB28-BA28</f>
        <v>-1.111118478134117</v>
      </c>
      <c r="BC28" s="138">
        <v>3251.6220930232557</v>
      </c>
      <c r="BD28" s="138">
        <v>3112.3781552202358</v>
      </c>
      <c r="BE28" s="138"/>
      <c r="BF28" s="138"/>
      <c r="BG28" s="68">
        <v>-72456.706087570637</v>
      </c>
      <c r="BH28" s="138"/>
      <c r="BI28" s="138">
        <v>853.20000000000073</v>
      </c>
      <c r="BJ28" s="138">
        <v>224439.88430232555</v>
      </c>
      <c r="BK28" s="68">
        <v>-20243.056686046504</v>
      </c>
      <c r="BL28" s="68">
        <v>-507569</v>
      </c>
      <c r="BM28" s="68">
        <f>SUM(BF28:BL28)</f>
        <v>-374975.67847129155</v>
      </c>
      <c r="BY28" s="88">
        <v>2.39</v>
      </c>
      <c r="BZ28" s="204">
        <v>0.13</v>
      </c>
      <c r="CA28" s="235">
        <v>5400</v>
      </c>
      <c r="CB28" s="45">
        <f t="shared" si="20"/>
        <v>9.9850881144999981</v>
      </c>
      <c r="CC28" s="240">
        <f t="shared" si="21"/>
        <v>0.44756711719565923</v>
      </c>
      <c r="CD28" s="45">
        <f t="shared" si="22"/>
        <v>2.1539498612000032</v>
      </c>
      <c r="CE28" s="240">
        <f t="shared" si="23"/>
        <v>0.92444200051502279</v>
      </c>
      <c r="CF28" s="241">
        <f t="shared" si="24"/>
        <v>2187.8199999999997</v>
      </c>
      <c r="CG28" s="240">
        <f t="shared" si="25"/>
        <v>0.39068214285714281</v>
      </c>
    </row>
    <row r="29" spans="1:88" s="32" customFormat="1" ht="15" customHeight="1" thickBot="1" x14ac:dyDescent="0.35">
      <c r="B29" s="32" t="s">
        <v>87</v>
      </c>
      <c r="D29" s="32">
        <v>300</v>
      </c>
      <c r="E29" s="49"/>
      <c r="F29" s="34">
        <v>300</v>
      </c>
      <c r="G29" s="364">
        <v>18</v>
      </c>
      <c r="H29" s="365" t="s">
        <v>88</v>
      </c>
      <c r="I29" s="311">
        <v>1970</v>
      </c>
      <c r="J29" s="311">
        <v>1499.75</v>
      </c>
      <c r="K29" s="371">
        <f>7090030/1000000</f>
        <v>7.0900299999999996</v>
      </c>
      <c r="L29" s="378">
        <f>5397596.06511628/1000000</f>
        <v>5.3975960651162795</v>
      </c>
      <c r="M29" s="433">
        <f>1231286.02/1000000</f>
        <v>1.23128602</v>
      </c>
      <c r="N29" s="388">
        <f>870182.077616281/1000000</f>
        <v>0.87018207761628097</v>
      </c>
      <c r="O29" s="388">
        <f>731286.02/1000000</f>
        <v>0.73128601999999998</v>
      </c>
      <c r="P29" s="378">
        <f>370182.077616281/1000000</f>
        <v>0.37018207761628097</v>
      </c>
      <c r="Q29" s="369">
        <f t="shared" si="49"/>
        <v>0.17366443019282007</v>
      </c>
      <c r="R29" s="316">
        <f t="shared" ref="R29:R40" si="54">N29/L29</f>
        <v>0.16121659848541015</v>
      </c>
      <c r="S29" s="316">
        <f t="shared" ref="S29:S40" si="55">O29/K29</f>
        <v>0.10314286681438584</v>
      </c>
      <c r="T29" s="367">
        <f t="shared" ref="T29:T40" si="56">P29/L29</f>
        <v>6.8582767800781361E-2</v>
      </c>
      <c r="U29" s="294">
        <v>5600</v>
      </c>
      <c r="V29" s="400">
        <v>3412.1800000000003</v>
      </c>
      <c r="W29" s="296">
        <f t="shared" ref="W29:W40" si="57">22309700/1000000</f>
        <v>22.309699999999999</v>
      </c>
      <c r="X29" s="394">
        <f t="shared" si="50"/>
        <v>12.324611885500001</v>
      </c>
      <c r="Y29" s="394">
        <v>3.38</v>
      </c>
      <c r="Z29" s="401">
        <f t="shared" si="51"/>
        <v>1.3793364300653499</v>
      </c>
      <c r="AA29" s="430">
        <v>2.33</v>
      </c>
      <c r="AB29" s="431">
        <f t="shared" ref="AB29:AB40" si="58">176050.138799997/1000000</f>
        <v>0.17605013879999698</v>
      </c>
      <c r="AC29" s="320">
        <f t="shared" si="36"/>
        <v>0.15150360605476543</v>
      </c>
      <c r="AD29" s="324">
        <f t="shared" si="36"/>
        <v>0.11191723056919542</v>
      </c>
      <c r="AE29" s="316">
        <f>AA29/W29</f>
        <v>0.10443887636319628</v>
      </c>
      <c r="AF29" s="381">
        <f>AB29/X29</f>
        <v>1.4284436738094876E-2</v>
      </c>
      <c r="AG29" s="139"/>
      <c r="AH29" s="57"/>
      <c r="AI29" s="95"/>
      <c r="AJ29" s="96"/>
      <c r="AK29" s="96"/>
      <c r="AL29" s="96"/>
      <c r="AM29" s="96"/>
      <c r="AN29" s="40">
        <v>1000</v>
      </c>
      <c r="AO29" s="140"/>
      <c r="AP29" s="40"/>
      <c r="AQ29" s="40">
        <f t="shared" si="53"/>
        <v>1000</v>
      </c>
      <c r="AR29" s="64"/>
      <c r="AS29" s="140"/>
      <c r="AT29" s="64">
        <f t="shared" ref="AT29:AT40" si="59">X29-L29</f>
        <v>6.9270158203837218</v>
      </c>
      <c r="AU29" s="73">
        <v>10.090999999999999</v>
      </c>
      <c r="AV29" s="73"/>
      <c r="AW29" s="73"/>
      <c r="AX29" s="73"/>
      <c r="AY29" s="73"/>
      <c r="AZ29" s="137"/>
      <c r="BA29" s="97">
        <f t="shared" ref="BA29:BA52" si="60">X29*AE29</f>
        <v>1.2871686169341141</v>
      </c>
      <c r="BB29" s="97">
        <f t="shared" ref="BB29:BB40" si="61">AB29-BA29</f>
        <v>-1.111118478134117</v>
      </c>
      <c r="BC29" s="141"/>
      <c r="BD29" s="141"/>
      <c r="BE29" s="141"/>
      <c r="BF29" s="66"/>
      <c r="BG29" s="66"/>
      <c r="BH29" s="66"/>
      <c r="BI29" s="66"/>
      <c r="BJ29" s="66"/>
      <c r="BK29" s="66"/>
      <c r="BL29" s="66"/>
      <c r="BM29" s="66"/>
      <c r="BY29" s="49">
        <v>-0.53</v>
      </c>
      <c r="BZ29" s="208">
        <v>-7.0000000000000007E-2</v>
      </c>
      <c r="CA29" s="236">
        <v>2500</v>
      </c>
      <c r="CB29" s="45">
        <f t="shared" si="20"/>
        <v>9.9850881144999981</v>
      </c>
      <c r="CC29" s="240">
        <f t="shared" si="21"/>
        <v>0.44756711719565923</v>
      </c>
      <c r="CD29" s="45">
        <f t="shared" si="22"/>
        <v>2.1539498612000032</v>
      </c>
      <c r="CE29" s="240">
        <f t="shared" si="23"/>
        <v>0.92444200051502279</v>
      </c>
      <c r="CF29" s="241">
        <f t="shared" si="24"/>
        <v>2187.8199999999997</v>
      </c>
      <c r="CG29" s="240">
        <f t="shared" si="25"/>
        <v>0.39068214285714281</v>
      </c>
    </row>
    <row r="30" spans="1:88" s="32" customFormat="1" ht="14.25" customHeight="1" thickBot="1" x14ac:dyDescent="0.35">
      <c r="B30" s="32" t="s">
        <v>89</v>
      </c>
      <c r="D30" s="32">
        <v>403</v>
      </c>
      <c r="E30" s="49"/>
      <c r="F30" s="34">
        <v>403</v>
      </c>
      <c r="G30" s="370">
        <v>19</v>
      </c>
      <c r="H30" s="309" t="s">
        <v>90</v>
      </c>
      <c r="I30" s="311">
        <v>1370</v>
      </c>
      <c r="J30" s="311">
        <v>1171.07</v>
      </c>
      <c r="K30" s="371">
        <f>5439392/1000000</f>
        <v>5.4393919999999998</v>
      </c>
      <c r="L30" s="312">
        <f>4631069.9206/1000000</f>
        <v>4.6310699205999999</v>
      </c>
      <c r="M30" s="434">
        <f>995579/1000000</f>
        <v>0.99557899999999999</v>
      </c>
      <c r="N30" s="388">
        <f>798367.353858064/1000000</f>
        <v>0.79836735385806401</v>
      </c>
      <c r="O30" s="371">
        <f>602968/1000000</f>
        <v>0.60296799999999995</v>
      </c>
      <c r="P30" s="378">
        <f>359807.418374193/1000000</f>
        <v>0.359807418374193</v>
      </c>
      <c r="Q30" s="369">
        <f t="shared" si="49"/>
        <v>0.18303130202787371</v>
      </c>
      <c r="R30" s="316">
        <f t="shared" si="54"/>
        <v>0.17239371625696115</v>
      </c>
      <c r="S30" s="316">
        <f t="shared" si="55"/>
        <v>0.11085209523417322</v>
      </c>
      <c r="T30" s="367">
        <f t="shared" si="56"/>
        <v>7.7694231472017261E-2</v>
      </c>
      <c r="U30" s="294">
        <v>5600</v>
      </c>
      <c r="V30" s="400">
        <v>3412.1800000000003</v>
      </c>
      <c r="W30" s="296">
        <f t="shared" si="57"/>
        <v>22.309699999999999</v>
      </c>
      <c r="X30" s="394">
        <f t="shared" si="50"/>
        <v>12.324611885500001</v>
      </c>
      <c r="Y30" s="394">
        <v>3.38</v>
      </c>
      <c r="Z30" s="401">
        <f t="shared" si="51"/>
        <v>1.3793364300653499</v>
      </c>
      <c r="AA30" s="430">
        <v>2.33</v>
      </c>
      <c r="AB30" s="431">
        <f t="shared" si="58"/>
        <v>0.17605013879999698</v>
      </c>
      <c r="AC30" s="320">
        <f t="shared" si="36"/>
        <v>0.15150360605476543</v>
      </c>
      <c r="AD30" s="320">
        <f t="shared" si="36"/>
        <v>0.11191723056919542</v>
      </c>
      <c r="AE30" s="320">
        <f t="shared" si="52"/>
        <v>0.10443887636319628</v>
      </c>
      <c r="AF30" s="435">
        <f t="shared" si="52"/>
        <v>1.4284436738094876E-2</v>
      </c>
      <c r="AG30" s="139"/>
      <c r="AH30" s="57"/>
      <c r="AI30" s="38"/>
      <c r="AJ30" s="96"/>
      <c r="AK30" s="96"/>
      <c r="AL30" s="60"/>
      <c r="AM30" s="40"/>
      <c r="AN30" s="40">
        <v>500</v>
      </c>
      <c r="AO30" s="140"/>
      <c r="AP30" s="40"/>
      <c r="AQ30" s="40">
        <f t="shared" si="53"/>
        <v>500</v>
      </c>
      <c r="AR30" s="64"/>
      <c r="AS30" s="140"/>
      <c r="AT30" s="64">
        <f t="shared" si="59"/>
        <v>7.6935419649000014</v>
      </c>
      <c r="AU30" s="141">
        <v>3.5750000000000002</v>
      </c>
      <c r="AV30" s="141"/>
      <c r="AW30" s="141"/>
      <c r="AX30" s="141"/>
      <c r="AY30" s="141"/>
      <c r="AZ30" s="137"/>
      <c r="BA30" s="97">
        <f t="shared" si="60"/>
        <v>1.2871686169341141</v>
      </c>
      <c r="BB30" s="97">
        <f t="shared" si="61"/>
        <v>-1.111118478134117</v>
      </c>
      <c r="BC30" s="141">
        <v>3371.3530000000001</v>
      </c>
      <c r="BD30" s="141">
        <v>3349.1287201939367</v>
      </c>
      <c r="BE30" s="141"/>
      <c r="BF30" s="66"/>
      <c r="BG30" s="66">
        <v>21548.869151271298</v>
      </c>
      <c r="BH30" s="66"/>
      <c r="BI30" s="66"/>
      <c r="BJ30" s="68">
        <v>-400309</v>
      </c>
      <c r="BK30" s="66">
        <v>36646.483350000024</v>
      </c>
      <c r="BL30" s="66">
        <v>65418</v>
      </c>
      <c r="BM30" s="68">
        <f>SUM(BF30:BL30)</f>
        <v>-276695.64749872871</v>
      </c>
      <c r="BY30" s="49">
        <v>0.92</v>
      </c>
      <c r="BZ30" s="201">
        <v>0.15</v>
      </c>
      <c r="CA30" s="236">
        <v>1830</v>
      </c>
      <c r="CB30" s="45">
        <f t="shared" si="20"/>
        <v>9.9850881144999981</v>
      </c>
      <c r="CC30" s="240">
        <f t="shared" si="21"/>
        <v>0.44756711719565923</v>
      </c>
      <c r="CD30" s="45">
        <f t="shared" si="22"/>
        <v>2.1539498612000032</v>
      </c>
      <c r="CE30" s="240">
        <f t="shared" si="23"/>
        <v>0.92444200051502279</v>
      </c>
      <c r="CF30" s="241">
        <f t="shared" si="24"/>
        <v>2187.8199999999997</v>
      </c>
      <c r="CG30" s="240">
        <f t="shared" si="25"/>
        <v>0.39068214285714281</v>
      </c>
    </row>
    <row r="31" spans="1:88" s="32" customFormat="1" ht="15" hidden="1" customHeight="1" x14ac:dyDescent="0.3">
      <c r="C31" s="49"/>
      <c r="D31" s="34"/>
      <c r="E31" s="101"/>
      <c r="F31" s="101"/>
      <c r="G31" s="618">
        <v>20</v>
      </c>
      <c r="H31" s="436" t="s">
        <v>91</v>
      </c>
      <c r="I31" s="310"/>
      <c r="J31" s="311"/>
      <c r="K31" s="371"/>
      <c r="L31" s="408"/>
      <c r="M31" s="434"/>
      <c r="N31" s="388"/>
      <c r="O31" s="371"/>
      <c r="P31" s="378"/>
      <c r="Q31" s="371">
        <v>0</v>
      </c>
      <c r="R31" s="316" t="e">
        <f t="shared" si="54"/>
        <v>#DIV/0!</v>
      </c>
      <c r="S31" s="316" t="e">
        <f t="shared" si="55"/>
        <v>#DIV/0!</v>
      </c>
      <c r="T31" s="367" t="e">
        <f t="shared" si="56"/>
        <v>#DIV/0!</v>
      </c>
      <c r="U31" s="294">
        <v>5600</v>
      </c>
      <c r="V31" s="400">
        <v>3412.1800000000003</v>
      </c>
      <c r="W31" s="296">
        <f t="shared" si="57"/>
        <v>22.309699999999999</v>
      </c>
      <c r="X31" s="394">
        <f t="shared" si="50"/>
        <v>12.324611885500001</v>
      </c>
      <c r="Y31" s="394">
        <v>3.38</v>
      </c>
      <c r="Z31" s="401">
        <f t="shared" si="51"/>
        <v>1.3793364300653499</v>
      </c>
      <c r="AA31" s="430">
        <v>2.33</v>
      </c>
      <c r="AB31" s="431">
        <f t="shared" si="58"/>
        <v>0.17605013879999698</v>
      </c>
      <c r="AC31" s="320">
        <f t="shared" si="36"/>
        <v>0.15150360605476543</v>
      </c>
      <c r="AD31" s="320">
        <f t="shared" si="36"/>
        <v>0.11191723056919542</v>
      </c>
      <c r="AE31" s="320">
        <f t="shared" si="52"/>
        <v>0.10443887636319628</v>
      </c>
      <c r="AF31" s="435">
        <f t="shared" si="52"/>
        <v>1.4284436738094876E-2</v>
      </c>
      <c r="AG31" s="139"/>
      <c r="AH31" s="57"/>
      <c r="AI31" s="38"/>
      <c r="AJ31" s="96">
        <v>0</v>
      </c>
      <c r="AK31" s="96">
        <v>0</v>
      </c>
      <c r="AL31" s="142"/>
      <c r="AM31" s="142"/>
      <c r="AN31" s="40">
        <v>2000</v>
      </c>
      <c r="AO31" s="140"/>
      <c r="AP31" s="40"/>
      <c r="AQ31" s="40"/>
      <c r="AR31" s="64"/>
      <c r="AS31" s="140"/>
      <c r="AT31" s="64">
        <f t="shared" si="59"/>
        <v>12.324611885500001</v>
      </c>
      <c r="AU31" s="141"/>
      <c r="AV31" s="141"/>
      <c r="AW31" s="141"/>
      <c r="AX31" s="141"/>
      <c r="AY31" s="141"/>
      <c r="AZ31" s="137"/>
      <c r="BA31" s="97">
        <f t="shared" si="60"/>
        <v>1.2871686169341141</v>
      </c>
      <c r="BB31" s="97">
        <f t="shared" si="61"/>
        <v>-1.111118478134117</v>
      </c>
      <c r="BC31" s="143"/>
      <c r="BD31" s="143"/>
      <c r="BE31" s="143"/>
      <c r="BF31" s="66"/>
      <c r="BG31" s="66"/>
      <c r="BH31" s="66"/>
      <c r="BI31" s="66"/>
      <c r="BJ31" s="66"/>
      <c r="BK31" s="66"/>
      <c r="BL31" s="66"/>
      <c r="BM31" s="66"/>
      <c r="BY31" s="49"/>
      <c r="BZ31" s="52"/>
      <c r="CA31" s="236"/>
      <c r="CB31" s="45">
        <f t="shared" si="20"/>
        <v>9.9850881144999981</v>
      </c>
      <c r="CC31" s="240">
        <f t="shared" si="21"/>
        <v>0.44756711719565923</v>
      </c>
      <c r="CD31" s="45">
        <f t="shared" si="22"/>
        <v>2.1539498612000032</v>
      </c>
      <c r="CE31" s="240">
        <f t="shared" si="23"/>
        <v>0.92444200051502279</v>
      </c>
      <c r="CF31" s="241">
        <f t="shared" si="24"/>
        <v>2187.8199999999997</v>
      </c>
      <c r="CG31" s="240">
        <f t="shared" si="25"/>
        <v>0.39068214285714281</v>
      </c>
    </row>
    <row r="32" spans="1:88" s="32" customFormat="1" ht="15" hidden="1" customHeight="1" x14ac:dyDescent="0.3">
      <c r="C32" s="49"/>
      <c r="D32" s="34"/>
      <c r="E32" s="104"/>
      <c r="F32" s="104"/>
      <c r="G32" s="619"/>
      <c r="H32" s="312" t="s">
        <v>92</v>
      </c>
      <c r="I32" s="311"/>
      <c r="J32" s="311"/>
      <c r="K32" s="371"/>
      <c r="L32" s="312"/>
      <c r="M32" s="295"/>
      <c r="N32" s="371"/>
      <c r="O32" s="371"/>
      <c r="P32" s="312"/>
      <c r="Q32" s="369" t="e">
        <f t="shared" si="49"/>
        <v>#DIV/0!</v>
      </c>
      <c r="R32" s="316" t="e">
        <f t="shared" si="54"/>
        <v>#DIV/0!</v>
      </c>
      <c r="S32" s="316" t="e">
        <f t="shared" si="55"/>
        <v>#DIV/0!</v>
      </c>
      <c r="T32" s="367" t="e">
        <f t="shared" si="56"/>
        <v>#DIV/0!</v>
      </c>
      <c r="U32" s="294">
        <v>5600</v>
      </c>
      <c r="V32" s="400">
        <v>3412.1800000000003</v>
      </c>
      <c r="W32" s="296">
        <f t="shared" si="57"/>
        <v>22.309699999999999</v>
      </c>
      <c r="X32" s="394">
        <f t="shared" si="50"/>
        <v>12.324611885500001</v>
      </c>
      <c r="Y32" s="394">
        <v>3.38</v>
      </c>
      <c r="Z32" s="401">
        <f t="shared" si="51"/>
        <v>1.3793364300653499</v>
      </c>
      <c r="AA32" s="430">
        <v>2.33</v>
      </c>
      <c r="AB32" s="431">
        <f t="shared" si="58"/>
        <v>0.17605013879999698</v>
      </c>
      <c r="AC32" s="320">
        <f t="shared" si="36"/>
        <v>0.15150360605476543</v>
      </c>
      <c r="AD32" s="320">
        <f t="shared" si="36"/>
        <v>0.11191723056919542</v>
      </c>
      <c r="AE32" s="320">
        <f t="shared" si="52"/>
        <v>0.10443887636319628</v>
      </c>
      <c r="AF32" s="435">
        <f>AB32/X32</f>
        <v>1.4284436738094876E-2</v>
      </c>
      <c r="AG32" s="139"/>
      <c r="AH32" s="57"/>
      <c r="AI32" s="38"/>
      <c r="AJ32" s="96">
        <v>0</v>
      </c>
      <c r="AK32" s="96">
        <v>0</v>
      </c>
      <c r="AL32" s="142"/>
      <c r="AM32" s="142"/>
      <c r="AN32" s="40"/>
      <c r="AO32" s="140"/>
      <c r="AP32" s="40"/>
      <c r="AQ32" s="40"/>
      <c r="AR32" s="64"/>
      <c r="AS32" s="140"/>
      <c r="AT32" s="64">
        <f t="shared" si="59"/>
        <v>12.324611885500001</v>
      </c>
      <c r="AV32" s="32" t="s">
        <v>93</v>
      </c>
      <c r="AZ32" s="137"/>
      <c r="BA32" s="97">
        <f t="shared" si="60"/>
        <v>1.2871686169341141</v>
      </c>
      <c r="BB32" s="97">
        <f t="shared" si="61"/>
        <v>-1.111118478134117</v>
      </c>
      <c r="BC32" s="144"/>
      <c r="BD32" s="144"/>
      <c r="BE32" s="144"/>
      <c r="BF32" s="66"/>
      <c r="BG32" s="66"/>
      <c r="BH32" s="66"/>
      <c r="BI32" s="66"/>
      <c r="BJ32" s="66"/>
      <c r="BK32" s="66"/>
      <c r="BL32" s="66"/>
      <c r="BM32" s="66"/>
      <c r="BY32" s="49"/>
      <c r="BZ32" s="52"/>
      <c r="CA32" s="236"/>
      <c r="CB32" s="45">
        <f t="shared" si="20"/>
        <v>9.9850881144999981</v>
      </c>
      <c r="CC32" s="240">
        <f t="shared" si="21"/>
        <v>0.44756711719565923</v>
      </c>
      <c r="CD32" s="45">
        <f t="shared" si="22"/>
        <v>2.1539498612000032</v>
      </c>
      <c r="CE32" s="240">
        <f t="shared" si="23"/>
        <v>0.92444200051502279</v>
      </c>
      <c r="CF32" s="241">
        <f t="shared" si="24"/>
        <v>2187.8199999999997</v>
      </c>
      <c r="CG32" s="240">
        <f t="shared" si="25"/>
        <v>0.39068214285714281</v>
      </c>
    </row>
    <row r="33" spans="1:86" s="105" customFormat="1" ht="15" customHeight="1" thickBot="1" x14ac:dyDescent="0.35">
      <c r="C33" s="99"/>
      <c r="D33" s="106">
        <v>1745</v>
      </c>
      <c r="E33" s="205" t="s">
        <v>94</v>
      </c>
      <c r="F33" s="205">
        <v>1745</v>
      </c>
      <c r="G33" s="620"/>
      <c r="H33" s="309" t="s">
        <v>95</v>
      </c>
      <c r="I33" s="311">
        <v>3184</v>
      </c>
      <c r="J33" s="374">
        <v>2253.9241627906977</v>
      </c>
      <c r="K33" s="375">
        <f>12496759.4051408/1000000</f>
        <v>12.4967594051408</v>
      </c>
      <c r="L33" s="375">
        <f>8843553.40931446/1000000</f>
        <v>8.8435534093144597</v>
      </c>
      <c r="M33" s="371">
        <f>1454508.66840264/1000000</f>
        <v>1.4545086684026398</v>
      </c>
      <c r="N33" s="366">
        <f>222253.584082773/1000000</f>
        <v>0.22225358408277301</v>
      </c>
      <c r="O33" s="371">
        <f>751731.017649954/1000000</f>
        <v>0.75173101764995398</v>
      </c>
      <c r="P33" s="379">
        <f>-634615.203818813/1000000</f>
        <v>-0.63461520381881298</v>
      </c>
      <c r="Q33" s="367">
        <f t="shared" si="49"/>
        <v>0.11639086752396767</v>
      </c>
      <c r="R33" s="316">
        <f t="shared" si="54"/>
        <v>2.5131705977903041E-2</v>
      </c>
      <c r="S33" s="316">
        <f t="shared" si="55"/>
        <v>6.0154076211206713E-2</v>
      </c>
      <c r="T33" s="380">
        <f t="shared" si="56"/>
        <v>-7.1760204800754124E-2</v>
      </c>
      <c r="U33" s="294">
        <v>5600</v>
      </c>
      <c r="V33" s="400">
        <v>3412.1800000000003</v>
      </c>
      <c r="W33" s="296">
        <f t="shared" si="57"/>
        <v>22.309699999999999</v>
      </c>
      <c r="X33" s="394">
        <f t="shared" si="50"/>
        <v>12.324611885500001</v>
      </c>
      <c r="Y33" s="394">
        <v>3.38</v>
      </c>
      <c r="Z33" s="401">
        <f t="shared" si="51"/>
        <v>1.3793364300653499</v>
      </c>
      <c r="AA33" s="430">
        <v>2.33</v>
      </c>
      <c r="AB33" s="431">
        <f t="shared" si="58"/>
        <v>0.17605013879999698</v>
      </c>
      <c r="AC33" s="320">
        <f t="shared" ref="AC33:AD36" si="62">Y33/W33</f>
        <v>0.15150360605476543</v>
      </c>
      <c r="AD33" s="320">
        <f t="shared" si="62"/>
        <v>0.11191723056919542</v>
      </c>
      <c r="AE33" s="320">
        <f>AA33/W33</f>
        <v>0.10443887636319628</v>
      </c>
      <c r="AF33" s="381">
        <f>AB33/X33</f>
        <v>1.4284436738094876E-2</v>
      </c>
      <c r="AG33" s="145"/>
      <c r="AH33" s="107"/>
      <c r="AI33" s="108"/>
      <c r="AJ33" s="109"/>
      <c r="AK33" s="109"/>
      <c r="AL33" s="146"/>
      <c r="AM33" s="146"/>
      <c r="AN33" s="111"/>
      <c r="AO33" s="147"/>
      <c r="AP33" s="111"/>
      <c r="AQ33" s="148">
        <f t="shared" si="53"/>
        <v>0</v>
      </c>
      <c r="AR33" s="112"/>
      <c r="AS33" s="147"/>
      <c r="AT33" s="64">
        <f t="shared" si="59"/>
        <v>3.4810584761855417</v>
      </c>
      <c r="AU33" s="105">
        <v>51.32</v>
      </c>
      <c r="AV33" s="105">
        <v>200000</v>
      </c>
      <c r="AY33" s="105">
        <f>AV33/1000000</f>
        <v>0.2</v>
      </c>
      <c r="AZ33" s="137"/>
      <c r="BA33" s="97">
        <f t="shared" si="60"/>
        <v>1.2871686169341141</v>
      </c>
      <c r="BB33" s="97">
        <f t="shared" si="61"/>
        <v>-1.111118478134117</v>
      </c>
      <c r="BC33" s="65"/>
      <c r="BD33" s="65"/>
      <c r="BE33" s="65"/>
      <c r="BF33" s="66"/>
      <c r="BG33" s="66"/>
      <c r="BH33" s="66"/>
      <c r="BI33" s="66"/>
      <c r="BJ33" s="68"/>
      <c r="BK33" s="66"/>
      <c r="BL33" s="66"/>
      <c r="BM33" s="66"/>
      <c r="BY33" s="99">
        <v>1.0900000000000001</v>
      </c>
      <c r="BZ33" s="201">
        <v>0.08</v>
      </c>
      <c r="CA33" s="236">
        <v>4093</v>
      </c>
      <c r="CB33" s="45">
        <f t="shared" si="20"/>
        <v>9.9850881144999981</v>
      </c>
      <c r="CC33" s="240">
        <f t="shared" si="21"/>
        <v>0.44756711719565923</v>
      </c>
      <c r="CD33" s="45">
        <f t="shared" si="22"/>
        <v>2.1539498612000032</v>
      </c>
      <c r="CE33" s="240">
        <f t="shared" si="23"/>
        <v>0.92444200051502279</v>
      </c>
      <c r="CF33" s="241">
        <f t="shared" si="24"/>
        <v>2187.8199999999997</v>
      </c>
      <c r="CG33" s="240">
        <f t="shared" si="25"/>
        <v>0.39068214285714281</v>
      </c>
      <c r="CH33" s="251"/>
    </row>
    <row r="34" spans="1:86" s="32" customFormat="1" ht="15" customHeight="1" thickBot="1" x14ac:dyDescent="0.35">
      <c r="B34" s="32" t="s">
        <v>96</v>
      </c>
      <c r="E34" s="49"/>
      <c r="F34" s="34"/>
      <c r="G34" s="370">
        <v>21</v>
      </c>
      <c r="H34" s="309" t="s">
        <v>97</v>
      </c>
      <c r="I34" s="311">
        <v>1670</v>
      </c>
      <c r="J34" s="311">
        <v>825.65210477729067</v>
      </c>
      <c r="K34" s="437">
        <f>5992538.56/1000000</f>
        <v>5.9925385599999998</v>
      </c>
      <c r="L34" s="378">
        <f>2803988.33781158/1000000</f>
        <v>2.80398833781158</v>
      </c>
      <c r="M34" s="434">
        <f>1437803.64823053/1000000</f>
        <v>1.4378036482305301</v>
      </c>
      <c r="N34" s="366">
        <f>942062.568355254/1000000</f>
        <v>0.94206256835525404</v>
      </c>
      <c r="O34" s="371">
        <f>1107659.42887569/1000000</f>
        <v>1.10765942887569</v>
      </c>
      <c r="P34" s="313">
        <f>704872.554484286/1000000</f>
        <v>0.70487255448428598</v>
      </c>
      <c r="Q34" s="369">
        <f>M34/K34</f>
        <v>0.23993231480024554</v>
      </c>
      <c r="R34" s="316">
        <f t="shared" si="54"/>
        <v>0.33597235610847892</v>
      </c>
      <c r="S34" s="316">
        <f t="shared" si="55"/>
        <v>0.18483976661731985</v>
      </c>
      <c r="T34" s="367">
        <f t="shared" si="56"/>
        <v>0.25138212772825425</v>
      </c>
      <c r="U34" s="294">
        <v>5600</v>
      </c>
      <c r="V34" s="400">
        <v>3412.1800000000003</v>
      </c>
      <c r="W34" s="296">
        <f t="shared" si="57"/>
        <v>22.309699999999999</v>
      </c>
      <c r="X34" s="394">
        <f t="shared" si="50"/>
        <v>12.324611885500001</v>
      </c>
      <c r="Y34" s="394">
        <v>3.38</v>
      </c>
      <c r="Z34" s="401">
        <f t="shared" si="51"/>
        <v>1.3793364300653499</v>
      </c>
      <c r="AA34" s="430">
        <v>2.33</v>
      </c>
      <c r="AB34" s="431">
        <f t="shared" si="58"/>
        <v>0.17605013879999698</v>
      </c>
      <c r="AC34" s="320">
        <f t="shared" si="62"/>
        <v>0.15150360605476543</v>
      </c>
      <c r="AD34" s="320">
        <f t="shared" si="62"/>
        <v>0.11191723056919542</v>
      </c>
      <c r="AE34" s="320">
        <f t="shared" si="52"/>
        <v>0.10443887636319628</v>
      </c>
      <c r="AF34" s="435">
        <f t="shared" si="52"/>
        <v>1.4284436738094876E-2</v>
      </c>
      <c r="AG34" s="139">
        <v>0</v>
      </c>
      <c r="AH34" s="57">
        <v>0</v>
      </c>
      <c r="AI34" s="95"/>
      <c r="AJ34" s="96"/>
      <c r="AK34" s="96"/>
      <c r="AL34" s="149"/>
      <c r="AM34" s="149"/>
      <c r="AN34" s="40">
        <v>500</v>
      </c>
      <c r="AO34" s="140"/>
      <c r="AP34" s="40"/>
      <c r="AQ34" s="40">
        <f t="shared" si="53"/>
        <v>500</v>
      </c>
      <c r="AR34" s="64"/>
      <c r="AS34" s="140"/>
      <c r="AT34" s="64">
        <f t="shared" si="59"/>
        <v>9.5206235476884213</v>
      </c>
      <c r="AU34" s="32">
        <v>0.94099999999999995</v>
      </c>
      <c r="AY34" s="64">
        <f>AB33+AY33</f>
        <v>0.37605013879999699</v>
      </c>
      <c r="AZ34" s="97"/>
      <c r="BA34" s="97">
        <f t="shared" si="60"/>
        <v>1.2871686169341141</v>
      </c>
      <c r="BB34" s="97">
        <f t="shared" si="61"/>
        <v>-1.111118478134117</v>
      </c>
      <c r="BC34" s="65"/>
      <c r="BD34" s="65"/>
      <c r="BE34" s="65"/>
      <c r="BF34" s="66"/>
      <c r="BG34" s="66"/>
      <c r="BH34" s="66"/>
      <c r="BI34" s="66"/>
      <c r="BJ34" s="66"/>
      <c r="BK34" s="66"/>
      <c r="BL34" s="66"/>
      <c r="BM34" s="66"/>
      <c r="BY34" s="49">
        <v>1.34</v>
      </c>
      <c r="BZ34" s="201">
        <v>0.21</v>
      </c>
      <c r="CA34" s="236">
        <v>2101</v>
      </c>
      <c r="CB34" s="248">
        <f t="shared" si="20"/>
        <v>9.9850881144999981</v>
      </c>
      <c r="CC34" s="240">
        <f t="shared" si="21"/>
        <v>0.44756711719565923</v>
      </c>
      <c r="CD34" s="45">
        <f t="shared" si="22"/>
        <v>2.1539498612000032</v>
      </c>
      <c r="CE34" s="240">
        <f t="shared" si="23"/>
        <v>0.92444200051502279</v>
      </c>
      <c r="CF34" s="241">
        <f t="shared" si="24"/>
        <v>2187.8199999999997</v>
      </c>
      <c r="CG34" s="240">
        <f t="shared" si="25"/>
        <v>0.39068214285714281</v>
      </c>
    </row>
    <row r="35" spans="1:86" s="209" customFormat="1" ht="15" hidden="1" customHeight="1" x14ac:dyDescent="0.3">
      <c r="B35" s="209" t="s">
        <v>98</v>
      </c>
      <c r="E35" s="210"/>
      <c r="F35" s="211"/>
      <c r="G35" s="364">
        <v>21</v>
      </c>
      <c r="H35" s="438" t="s">
        <v>99</v>
      </c>
      <c r="I35" s="439"/>
      <c r="J35" s="440"/>
      <c r="K35" s="441"/>
      <c r="L35" s="442"/>
      <c r="M35" s="443"/>
      <c r="N35" s="444"/>
      <c r="O35" s="441"/>
      <c r="P35" s="445"/>
      <c r="Q35" s="369" t="e">
        <f t="shared" ref="Q35:Q36" si="63">M35/K35</f>
        <v>#DIV/0!</v>
      </c>
      <c r="R35" s="446" t="e">
        <f t="shared" si="54"/>
        <v>#DIV/0!</v>
      </c>
      <c r="S35" s="446" t="e">
        <f t="shared" si="55"/>
        <v>#DIV/0!</v>
      </c>
      <c r="T35" s="447" t="e">
        <f t="shared" si="56"/>
        <v>#DIV/0!</v>
      </c>
      <c r="U35" s="294">
        <v>5600</v>
      </c>
      <c r="V35" s="400">
        <v>3412.1800000000003</v>
      </c>
      <c r="W35" s="296">
        <f t="shared" si="57"/>
        <v>22.309699999999999</v>
      </c>
      <c r="X35" s="394">
        <f t="shared" si="50"/>
        <v>12.324611885500001</v>
      </c>
      <c r="Y35" s="394">
        <v>3.38</v>
      </c>
      <c r="Z35" s="401">
        <f t="shared" si="51"/>
        <v>1.3793364300653499</v>
      </c>
      <c r="AA35" s="430">
        <v>2.33</v>
      </c>
      <c r="AB35" s="431">
        <f t="shared" si="58"/>
        <v>0.17605013879999698</v>
      </c>
      <c r="AC35" s="448">
        <f t="shared" si="62"/>
        <v>0.15150360605476543</v>
      </c>
      <c r="AD35" s="448">
        <f t="shared" si="62"/>
        <v>0.11191723056919542</v>
      </c>
      <c r="AE35" s="448">
        <f t="shared" si="52"/>
        <v>0.10443887636319628</v>
      </c>
      <c r="AF35" s="449">
        <f t="shared" si="52"/>
        <v>1.4284436738094876E-2</v>
      </c>
      <c r="AG35" s="218"/>
      <c r="AH35" s="217"/>
      <c r="AI35" s="219"/>
      <c r="AJ35" s="212"/>
      <c r="AK35" s="212"/>
      <c r="AL35" s="212"/>
      <c r="AM35" s="212"/>
      <c r="AN35" s="213"/>
      <c r="AO35" s="220"/>
      <c r="AP35" s="213"/>
      <c r="AQ35" s="213">
        <f t="shared" si="53"/>
        <v>0</v>
      </c>
      <c r="AR35" s="221"/>
      <c r="AS35" s="220"/>
      <c r="AT35" s="221">
        <f t="shared" si="59"/>
        <v>12.324611885500001</v>
      </c>
      <c r="AZ35" s="222"/>
      <c r="BA35" s="214">
        <f t="shared" si="60"/>
        <v>1.2871686169341141</v>
      </c>
      <c r="BB35" s="214">
        <f t="shared" si="61"/>
        <v>-1.111118478134117</v>
      </c>
      <c r="BC35" s="215"/>
      <c r="BD35" s="215"/>
      <c r="BE35" s="215"/>
      <c r="BF35" s="216"/>
      <c r="BG35" s="216"/>
      <c r="BH35" s="216"/>
      <c r="BI35" s="216"/>
      <c r="BJ35" s="216"/>
      <c r="BK35" s="216"/>
      <c r="BL35" s="216"/>
      <c r="BM35" s="216"/>
      <c r="BY35" s="210"/>
      <c r="BZ35" s="223"/>
      <c r="CA35" s="238"/>
      <c r="CB35" s="45">
        <f t="shared" si="20"/>
        <v>9.9850881144999981</v>
      </c>
      <c r="CC35" s="240">
        <f t="shared" si="21"/>
        <v>0.44756711719565923</v>
      </c>
      <c r="CD35" s="45">
        <f t="shared" si="22"/>
        <v>2.1539498612000032</v>
      </c>
      <c r="CE35" s="240">
        <f t="shared" si="23"/>
        <v>0.92444200051502279</v>
      </c>
      <c r="CF35" s="241">
        <f t="shared" si="24"/>
        <v>2187.8199999999997</v>
      </c>
      <c r="CG35" s="240">
        <f t="shared" si="25"/>
        <v>0.39068214285714281</v>
      </c>
    </row>
    <row r="36" spans="1:86" s="32" customFormat="1" ht="19.5" thickBot="1" x14ac:dyDescent="0.35">
      <c r="B36" s="32" t="s">
        <v>98</v>
      </c>
      <c r="E36" s="49"/>
      <c r="F36" s="34"/>
      <c r="G36" s="370">
        <v>22</v>
      </c>
      <c r="H36" s="309" t="s">
        <v>100</v>
      </c>
      <c r="I36" s="311">
        <v>4600</v>
      </c>
      <c r="J36" s="311">
        <v>1759.31</v>
      </c>
      <c r="K36" s="371">
        <f>19941000/1000000</f>
        <v>19.940999999999999</v>
      </c>
      <c r="L36" s="378">
        <f>7649926.23/1000000</f>
        <v>7.6499262300000002</v>
      </c>
      <c r="M36" s="450">
        <f>3784330/1000000</f>
        <v>3.7843300000000002</v>
      </c>
      <c r="N36" s="451">
        <f>607136.44575/1000000</f>
        <v>0.60713644574999992</v>
      </c>
      <c r="O36" s="366">
        <f>3481830/1000000</f>
        <v>3.48183</v>
      </c>
      <c r="P36" s="452">
        <f>327136.44575/1000000</f>
        <v>0.32713644575</v>
      </c>
      <c r="Q36" s="369">
        <f t="shared" si="63"/>
        <v>0.18977634020360065</v>
      </c>
      <c r="R36" s="316">
        <f t="shared" si="54"/>
        <v>7.9365006602161697E-2</v>
      </c>
      <c r="S36" s="316">
        <f t="shared" si="55"/>
        <v>0.17460658943884461</v>
      </c>
      <c r="T36" s="367">
        <f t="shared" si="56"/>
        <v>4.2763346457786691E-2</v>
      </c>
      <c r="U36" s="294">
        <v>5600</v>
      </c>
      <c r="V36" s="400">
        <v>3412.1800000000003</v>
      </c>
      <c r="W36" s="296">
        <f t="shared" si="57"/>
        <v>22.309699999999999</v>
      </c>
      <c r="X36" s="394">
        <f t="shared" si="50"/>
        <v>12.324611885500001</v>
      </c>
      <c r="Y36" s="394">
        <v>3.38</v>
      </c>
      <c r="Z36" s="401">
        <f t="shared" si="51"/>
        <v>1.3793364300653499</v>
      </c>
      <c r="AA36" s="430">
        <v>2.33</v>
      </c>
      <c r="AB36" s="431">
        <f t="shared" si="58"/>
        <v>0.17605013879999698</v>
      </c>
      <c r="AC36" s="320">
        <f t="shared" si="62"/>
        <v>0.15150360605476543</v>
      </c>
      <c r="AD36" s="316">
        <f t="shared" si="62"/>
        <v>0.11191723056919542</v>
      </c>
      <c r="AE36" s="320">
        <f t="shared" si="52"/>
        <v>0.10443887636319628</v>
      </c>
      <c r="AF36" s="435">
        <f t="shared" si="52"/>
        <v>1.4284436738094876E-2</v>
      </c>
      <c r="AG36" s="139"/>
      <c r="AH36" s="57"/>
      <c r="AI36" s="58"/>
      <c r="AJ36" s="96"/>
      <c r="AK36" s="96"/>
      <c r="AL36" s="102"/>
      <c r="AM36" s="102"/>
      <c r="AN36" s="40">
        <v>500</v>
      </c>
      <c r="AO36" s="140"/>
      <c r="AP36" s="40"/>
      <c r="AQ36" s="40">
        <f t="shared" si="53"/>
        <v>500</v>
      </c>
      <c r="AR36" s="64"/>
      <c r="AS36" s="135"/>
      <c r="AT36" s="64">
        <f t="shared" si="59"/>
        <v>4.6746856555000011</v>
      </c>
      <c r="AU36" s="32">
        <v>18.216999999999999</v>
      </c>
      <c r="AY36" s="51">
        <f>AY34/X33</f>
        <v>3.0512128275813927E-2</v>
      </c>
      <c r="AZ36" s="137"/>
      <c r="BA36" s="97">
        <f>X36*AE36</f>
        <v>1.2871686169341141</v>
      </c>
      <c r="BB36" s="97">
        <f t="shared" si="61"/>
        <v>-1.111118478134117</v>
      </c>
      <c r="BC36" s="65"/>
      <c r="BD36" s="65"/>
      <c r="BE36" s="65"/>
      <c r="BF36" s="66"/>
      <c r="BG36" s="66"/>
      <c r="BH36" s="66"/>
      <c r="BI36" s="66"/>
      <c r="BJ36" s="66"/>
      <c r="BK36" s="66"/>
      <c r="BL36" s="66"/>
      <c r="BM36" s="66"/>
      <c r="BY36" s="49">
        <v>-0.69</v>
      </c>
      <c r="BZ36" s="160">
        <v>0</v>
      </c>
      <c r="CA36" s="236" t="s">
        <v>66</v>
      </c>
      <c r="CB36" s="45">
        <f t="shared" si="20"/>
        <v>9.9850881144999981</v>
      </c>
      <c r="CC36" s="240">
        <f t="shared" si="21"/>
        <v>0.44756711719565923</v>
      </c>
      <c r="CD36" s="45">
        <f t="shared" si="22"/>
        <v>2.1539498612000032</v>
      </c>
      <c r="CE36" s="240">
        <f t="shared" si="23"/>
        <v>0.92444200051502279</v>
      </c>
      <c r="CF36" s="241">
        <f t="shared" si="24"/>
        <v>2187.8199999999997</v>
      </c>
      <c r="CG36" s="240">
        <f t="shared" si="25"/>
        <v>0.39068214285714281</v>
      </c>
    </row>
    <row r="37" spans="1:86" s="32" customFormat="1" ht="19.5" thickBot="1" x14ac:dyDescent="0.35">
      <c r="B37" s="32" t="s">
        <v>101</v>
      </c>
      <c r="E37" s="49"/>
      <c r="F37" s="34"/>
      <c r="G37" s="364">
        <v>23</v>
      </c>
      <c r="H37" s="453" t="s">
        <v>102</v>
      </c>
      <c r="I37" s="311">
        <v>2690</v>
      </c>
      <c r="J37" s="311">
        <v>2205</v>
      </c>
      <c r="K37" s="371">
        <f>10181650/1000000</f>
        <v>10.181649999999999</v>
      </c>
      <c r="L37" s="378">
        <f>8356804.28/1000000</f>
        <v>8.3568042800000004</v>
      </c>
      <c r="M37" s="450">
        <f>1690907.13750697/1000000</f>
        <v>1.69090713750697</v>
      </c>
      <c r="N37" s="451">
        <f>1761750.90654545/1000000</f>
        <v>1.76175090654545</v>
      </c>
      <c r="O37" s="371">
        <f>1317758.75407139/1000000</f>
        <v>1.31775875407139</v>
      </c>
      <c r="P37" s="452">
        <f>1381356.90654545/1000000</f>
        <v>1.3813569065454501</v>
      </c>
      <c r="Q37" s="369">
        <f>M37/K37</f>
        <v>0.1660739799057098</v>
      </c>
      <c r="R37" s="316">
        <f t="shared" si="54"/>
        <v>0.2108163416919763</v>
      </c>
      <c r="S37" s="316">
        <f t="shared" si="55"/>
        <v>0.12942487259642493</v>
      </c>
      <c r="T37" s="367">
        <f t="shared" si="56"/>
        <v>0.16529726678550979</v>
      </c>
      <c r="U37" s="294">
        <v>5600</v>
      </c>
      <c r="V37" s="400">
        <v>3412.1800000000003</v>
      </c>
      <c r="W37" s="296">
        <f t="shared" si="57"/>
        <v>22.309699999999999</v>
      </c>
      <c r="X37" s="394">
        <f t="shared" si="50"/>
        <v>12.324611885500001</v>
      </c>
      <c r="Y37" s="394">
        <v>3.38</v>
      </c>
      <c r="Z37" s="401">
        <f t="shared" si="51"/>
        <v>1.3793364300653499</v>
      </c>
      <c r="AA37" s="430">
        <v>2.33</v>
      </c>
      <c r="AB37" s="431">
        <f t="shared" si="58"/>
        <v>0.17605013879999698</v>
      </c>
      <c r="AC37" s="320">
        <f>Y37/W37</f>
        <v>0.15150360605476543</v>
      </c>
      <c r="AD37" s="316">
        <f>Z37/X37</f>
        <v>0.11191723056919542</v>
      </c>
      <c r="AE37" s="320">
        <f>AA37/W37</f>
        <v>0.10443887636319628</v>
      </c>
      <c r="AF37" s="368">
        <f>AB37/X37</f>
        <v>1.4284436738094876E-2</v>
      </c>
      <c r="AG37" s="139"/>
      <c r="AH37" s="57"/>
      <c r="AI37" s="95"/>
      <c r="AJ37" s="96"/>
      <c r="AK37" s="96"/>
      <c r="AL37" s="96"/>
      <c r="AM37" s="96"/>
      <c r="AN37" s="40">
        <v>500</v>
      </c>
      <c r="AO37" s="140"/>
      <c r="AP37" s="40"/>
      <c r="AQ37" s="40">
        <f t="shared" si="53"/>
        <v>500</v>
      </c>
      <c r="AR37" s="64"/>
      <c r="AS37" s="140"/>
      <c r="AT37" s="64">
        <f t="shared" si="59"/>
        <v>3.9678076055000009</v>
      </c>
      <c r="AZ37" s="137"/>
      <c r="BA37" s="97">
        <f t="shared" si="60"/>
        <v>1.2871686169341141</v>
      </c>
      <c r="BB37" s="97">
        <f t="shared" si="61"/>
        <v>-1.111118478134117</v>
      </c>
      <c r="BC37" s="66">
        <v>0</v>
      </c>
      <c r="BD37" s="66"/>
      <c r="BE37" s="66"/>
      <c r="BF37" s="66"/>
      <c r="BG37" s="66"/>
      <c r="BH37" s="66"/>
      <c r="BI37" s="66"/>
      <c r="BJ37" s="66"/>
      <c r="BK37" s="66"/>
      <c r="BL37" s="66"/>
      <c r="BM37" s="66">
        <v>0</v>
      </c>
      <c r="BY37" s="49">
        <v>0.76</v>
      </c>
      <c r="BZ37" s="201">
        <v>0.1</v>
      </c>
      <c r="CA37" s="236">
        <v>2341</v>
      </c>
      <c r="CB37" s="45">
        <f t="shared" si="20"/>
        <v>9.9850881144999981</v>
      </c>
      <c r="CC37" s="240">
        <f t="shared" si="21"/>
        <v>0.44756711719565923</v>
      </c>
      <c r="CD37" s="45">
        <f t="shared" si="22"/>
        <v>2.1539498612000032</v>
      </c>
      <c r="CE37" s="240">
        <f t="shared" si="23"/>
        <v>0.92444200051502279</v>
      </c>
      <c r="CF37" s="241">
        <f t="shared" si="24"/>
        <v>2187.8199999999997</v>
      </c>
      <c r="CG37" s="240">
        <f t="shared" si="25"/>
        <v>0.39068214285714281</v>
      </c>
    </row>
    <row r="38" spans="1:86" s="32" customFormat="1" ht="15" hidden="1" customHeight="1" x14ac:dyDescent="0.3">
      <c r="C38" s="49"/>
      <c r="D38" s="34"/>
      <c r="E38" s="101"/>
      <c r="F38" s="101"/>
      <c r="G38" s="618">
        <v>24</v>
      </c>
      <c r="H38" s="455" t="s">
        <v>103</v>
      </c>
      <c r="I38" s="383"/>
      <c r="J38" s="383"/>
      <c r="K38" s="388"/>
      <c r="L38" s="378"/>
      <c r="M38" s="433"/>
      <c r="N38" s="388"/>
      <c r="O38" s="371"/>
      <c r="P38" s="378"/>
      <c r="Q38" s="369" t="e">
        <f t="shared" ref="Q38:R47" si="64">M38/K38</f>
        <v>#DIV/0!</v>
      </c>
      <c r="R38" s="319" t="e">
        <f t="shared" si="54"/>
        <v>#DIV/0!</v>
      </c>
      <c r="S38" s="319" t="e">
        <f t="shared" si="55"/>
        <v>#DIV/0!</v>
      </c>
      <c r="T38" s="456" t="e">
        <f t="shared" si="56"/>
        <v>#DIV/0!</v>
      </c>
      <c r="U38" s="294">
        <v>5600</v>
      </c>
      <c r="V38" s="400">
        <v>3412.1800000000003</v>
      </c>
      <c r="W38" s="296">
        <f t="shared" si="57"/>
        <v>22.309699999999999</v>
      </c>
      <c r="X38" s="394">
        <f t="shared" si="50"/>
        <v>12.324611885500001</v>
      </c>
      <c r="Y38" s="394">
        <v>3.38</v>
      </c>
      <c r="Z38" s="401">
        <f t="shared" si="51"/>
        <v>1.3793364300653499</v>
      </c>
      <c r="AA38" s="430">
        <v>2.33</v>
      </c>
      <c r="AB38" s="431">
        <f t="shared" si="58"/>
        <v>0.17605013879999698</v>
      </c>
      <c r="AC38" s="312">
        <v>0</v>
      </c>
      <c r="AD38" s="415">
        <f>Z38/X38</f>
        <v>0.11191723056919542</v>
      </c>
      <c r="AE38" s="312">
        <v>0</v>
      </c>
      <c r="AF38" s="435">
        <f>AB38/X38</f>
        <v>1.4284436738094876E-2</v>
      </c>
      <c r="AG38" s="150"/>
      <c r="AH38" s="74"/>
      <c r="AI38" s="95"/>
      <c r="AJ38" s="96"/>
      <c r="AK38" s="151"/>
      <c r="AL38" s="149"/>
      <c r="AM38" s="149"/>
      <c r="AN38" s="40">
        <v>2000</v>
      </c>
      <c r="AO38" s="140"/>
      <c r="AP38" s="40"/>
      <c r="AQ38" s="40"/>
      <c r="AR38" s="64"/>
      <c r="AS38" s="140"/>
      <c r="AT38" s="64">
        <f>X38-L38</f>
        <v>12.324611885500001</v>
      </c>
      <c r="AZ38" s="137"/>
      <c r="BA38" s="97">
        <f t="shared" si="60"/>
        <v>0</v>
      </c>
      <c r="BB38" s="97">
        <f t="shared" si="61"/>
        <v>0.17605013879999698</v>
      </c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Y38" s="49" t="s">
        <v>66</v>
      </c>
      <c r="BZ38" s="98" t="s">
        <v>66</v>
      </c>
      <c r="CA38" s="236" t="s">
        <v>66</v>
      </c>
      <c r="CB38" s="45">
        <f t="shared" si="20"/>
        <v>9.9850881144999981</v>
      </c>
      <c r="CC38" s="240">
        <f t="shared" si="21"/>
        <v>0.44756711719565923</v>
      </c>
      <c r="CD38" s="45">
        <f t="shared" si="22"/>
        <v>2.1539498612000032</v>
      </c>
      <c r="CE38" s="240">
        <f t="shared" si="23"/>
        <v>0.92444200051502279</v>
      </c>
      <c r="CF38" s="241">
        <f t="shared" si="24"/>
        <v>2187.8199999999997</v>
      </c>
      <c r="CG38" s="240">
        <f t="shared" si="25"/>
        <v>0.39068214285714281</v>
      </c>
    </row>
    <row r="39" spans="1:86" s="32" customFormat="1" ht="15" hidden="1" customHeight="1" x14ac:dyDescent="0.3">
      <c r="E39" s="49"/>
      <c r="F39" s="34"/>
      <c r="G39" s="619"/>
      <c r="H39" s="312" t="s">
        <v>104</v>
      </c>
      <c r="I39" s="311"/>
      <c r="J39" s="311"/>
      <c r="K39" s="371"/>
      <c r="L39" s="371"/>
      <c r="M39" s="371"/>
      <c r="N39" s="371"/>
      <c r="O39" s="371"/>
      <c r="P39" s="366"/>
      <c r="Q39" s="369" t="e">
        <f t="shared" si="64"/>
        <v>#DIV/0!</v>
      </c>
      <c r="R39" s="457" t="e">
        <f t="shared" si="54"/>
        <v>#DIV/0!</v>
      </c>
      <c r="S39" s="457" t="e">
        <f t="shared" si="55"/>
        <v>#DIV/0!</v>
      </c>
      <c r="T39" s="458" t="e">
        <f t="shared" si="56"/>
        <v>#DIV/0!</v>
      </c>
      <c r="U39" s="294">
        <v>5600</v>
      </c>
      <c r="V39" s="400">
        <v>3412.1800000000003</v>
      </c>
      <c r="W39" s="296">
        <f t="shared" si="57"/>
        <v>22.309699999999999</v>
      </c>
      <c r="X39" s="394">
        <f t="shared" si="50"/>
        <v>12.324611885500001</v>
      </c>
      <c r="Y39" s="394">
        <v>3.38</v>
      </c>
      <c r="Z39" s="401">
        <f t="shared" si="51"/>
        <v>1.3793364300653499</v>
      </c>
      <c r="AA39" s="430">
        <v>2.33</v>
      </c>
      <c r="AB39" s="431">
        <f t="shared" si="58"/>
        <v>0.17605013879999698</v>
      </c>
      <c r="AC39" s="320">
        <f t="shared" ref="AC39:AD54" si="65">Y39/W39</f>
        <v>0.15150360605476543</v>
      </c>
      <c r="AD39" s="415">
        <f t="shared" si="65"/>
        <v>0.11191723056919542</v>
      </c>
      <c r="AE39" s="320">
        <f t="shared" ref="AE39:AF54" si="66">AA39/W39</f>
        <v>0.10443887636319628</v>
      </c>
      <c r="AF39" s="435">
        <f t="shared" si="66"/>
        <v>1.4284436738094876E-2</v>
      </c>
      <c r="AG39" s="150"/>
      <c r="AH39" s="74"/>
      <c r="AI39" s="95"/>
      <c r="AJ39" s="96">
        <v>0</v>
      </c>
      <c r="AK39" s="151">
        <v>0</v>
      </c>
      <c r="AL39" s="149"/>
      <c r="AM39" s="149"/>
      <c r="AN39" s="40"/>
      <c r="AO39" s="140"/>
      <c r="AP39" s="40"/>
      <c r="AQ39" s="40"/>
      <c r="AR39" s="64"/>
      <c r="AS39" s="140"/>
      <c r="AT39" s="64">
        <f t="shared" si="59"/>
        <v>12.324611885500001</v>
      </c>
      <c r="AZ39" s="137"/>
      <c r="BA39" s="97">
        <f t="shared" si="60"/>
        <v>1.2871686169341141</v>
      </c>
      <c r="BB39" s="97">
        <f t="shared" si="61"/>
        <v>-1.111118478134117</v>
      </c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Y39" s="49">
        <v>1</v>
      </c>
      <c r="BZ39" s="52">
        <v>7.0000000000000007E-2</v>
      </c>
      <c r="CA39" s="236">
        <v>4826</v>
      </c>
      <c r="CB39" s="45">
        <f t="shared" si="20"/>
        <v>9.9850881144999981</v>
      </c>
      <c r="CC39" s="240">
        <f t="shared" si="21"/>
        <v>0.44756711719565923</v>
      </c>
      <c r="CD39" s="45">
        <f t="shared" si="22"/>
        <v>2.1539498612000032</v>
      </c>
      <c r="CE39" s="240">
        <f t="shared" si="23"/>
        <v>0.92444200051502279</v>
      </c>
      <c r="CF39" s="241">
        <f t="shared" si="24"/>
        <v>2187.8199999999997</v>
      </c>
      <c r="CG39" s="240">
        <f t="shared" si="25"/>
        <v>0.39068214285714281</v>
      </c>
    </row>
    <row r="40" spans="1:86" s="105" customFormat="1" ht="19.5" thickBot="1" x14ac:dyDescent="0.35">
      <c r="B40" s="105" t="s">
        <v>105</v>
      </c>
      <c r="D40" s="105">
        <v>4041</v>
      </c>
      <c r="E40" s="99"/>
      <c r="F40" s="106">
        <v>4041</v>
      </c>
      <c r="G40" s="623"/>
      <c r="H40" s="459" t="s">
        <v>106</v>
      </c>
      <c r="I40" s="392">
        <v>3655</v>
      </c>
      <c r="J40" s="392">
        <v>2577.09</v>
      </c>
      <c r="K40" s="460">
        <f>13213732/1000000</f>
        <v>13.213732</v>
      </c>
      <c r="L40" s="394">
        <f>9359021.9363/1000000</f>
        <v>9.3590219362999996</v>
      </c>
      <c r="M40" s="461">
        <f>2621347/1000000</f>
        <v>2.6213470000000001</v>
      </c>
      <c r="N40" s="460">
        <f>796529.183528634/1000000</f>
        <v>0.796529183528634</v>
      </c>
      <c r="O40" s="460">
        <f>1270136/1000000</f>
        <v>1.2701359999999999</v>
      </c>
      <c r="P40" s="395">
        <f>-509423.090987495/1000000</f>
        <v>-0.50942309098749494</v>
      </c>
      <c r="Q40" s="462">
        <f t="shared" si="64"/>
        <v>0.19838051808527674</v>
      </c>
      <c r="R40" s="463">
        <f t="shared" si="54"/>
        <v>8.5108165035836458E-2</v>
      </c>
      <c r="S40" s="463">
        <f t="shared" si="55"/>
        <v>9.6122427789514714E-2</v>
      </c>
      <c r="T40" s="464">
        <f t="shared" si="56"/>
        <v>-5.4431231645225793E-2</v>
      </c>
      <c r="U40" s="392">
        <v>4848</v>
      </c>
      <c r="V40" s="400">
        <v>3412.1800000000003</v>
      </c>
      <c r="W40" s="296">
        <f t="shared" si="57"/>
        <v>22.309699999999999</v>
      </c>
      <c r="X40" s="394">
        <f>12324611.8855/1000000</f>
        <v>12.324611885500001</v>
      </c>
      <c r="Y40" s="394">
        <v>3.38</v>
      </c>
      <c r="Z40" s="401">
        <f>1379336.43006535/1000000</f>
        <v>1.3793364300653499</v>
      </c>
      <c r="AA40" s="430">
        <v>2.33</v>
      </c>
      <c r="AB40" s="431">
        <f t="shared" si="58"/>
        <v>0.17605013879999698</v>
      </c>
      <c r="AC40" s="398">
        <f>Y40/W40</f>
        <v>0.15150360605476543</v>
      </c>
      <c r="AD40" s="338">
        <f t="shared" si="65"/>
        <v>0.11191723056919542</v>
      </c>
      <c r="AE40" s="398">
        <f>AA40/W40</f>
        <v>0.10443887636319628</v>
      </c>
      <c r="AF40" s="465">
        <f t="shared" si="66"/>
        <v>1.4284436738094876E-2</v>
      </c>
      <c r="AG40" s="153"/>
      <c r="AH40" s="152"/>
      <c r="AI40" s="108"/>
      <c r="AJ40" s="109"/>
      <c r="AK40" s="154"/>
      <c r="AL40" s="146"/>
      <c r="AM40" s="155"/>
      <c r="AN40" s="111"/>
      <c r="AO40" s="147"/>
      <c r="AP40" s="111"/>
      <c r="AQ40" s="148">
        <f t="shared" si="53"/>
        <v>0</v>
      </c>
      <c r="AR40" s="112"/>
      <c r="AS40" s="156"/>
      <c r="AT40" s="64">
        <f t="shared" si="59"/>
        <v>2.9655899492000017</v>
      </c>
      <c r="AU40" s="105">
        <v>65.19</v>
      </c>
      <c r="AZ40" s="137"/>
      <c r="BA40" s="97">
        <f t="shared" si="60"/>
        <v>1.2871686169341141</v>
      </c>
      <c r="BB40" s="97">
        <f t="shared" si="61"/>
        <v>-1.111118478134117</v>
      </c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Y40" s="99">
        <v>1</v>
      </c>
      <c r="BZ40" s="201">
        <v>7.0000000000000007E-2</v>
      </c>
      <c r="CA40" s="236">
        <v>4826</v>
      </c>
      <c r="CB40" s="45">
        <f t="shared" si="20"/>
        <v>9.9850881144999981</v>
      </c>
      <c r="CC40" s="240">
        <f t="shared" si="21"/>
        <v>0.44756711719565923</v>
      </c>
      <c r="CD40" s="45">
        <f t="shared" si="22"/>
        <v>2.1539498612000032</v>
      </c>
      <c r="CE40" s="240">
        <f t="shared" si="23"/>
        <v>0.92444200051502279</v>
      </c>
      <c r="CF40" s="241">
        <f t="shared" si="24"/>
        <v>1435.8199999999997</v>
      </c>
      <c r="CG40" s="240">
        <f t="shared" si="25"/>
        <v>0.29616749174917484</v>
      </c>
    </row>
    <row r="41" spans="1:86" s="32" customFormat="1" ht="19.5" thickBot="1" x14ac:dyDescent="0.3">
      <c r="A41" s="75"/>
      <c r="B41" s="75"/>
      <c r="C41" s="75"/>
      <c r="D41" s="75"/>
      <c r="E41" s="49"/>
      <c r="F41" s="76"/>
      <c r="G41" s="624" t="s">
        <v>144</v>
      </c>
      <c r="H41" s="625"/>
      <c r="I41" s="466">
        <f>I28+I29+I30+I33+I34+I36+I37+I40</f>
        <v>23871</v>
      </c>
      <c r="J41" s="467">
        <f t="shared" ref="J41:P41" si="67">J28+J29+J30+J33+J34+J36+J37+J40</f>
        <v>15358.226965242407</v>
      </c>
      <c r="K41" s="468">
        <f t="shared" si="67"/>
        <v>93.27876696514079</v>
      </c>
      <c r="L41" s="468">
        <f t="shared" si="67"/>
        <v>60.134585516342312</v>
      </c>
      <c r="M41" s="468">
        <f t="shared" si="67"/>
        <v>15.827501013809961</v>
      </c>
      <c r="N41" s="468">
        <f t="shared" si="67"/>
        <v>6.6763148799648455</v>
      </c>
      <c r="O41" s="468">
        <f t="shared" si="67"/>
        <v>11.280040669944274</v>
      </c>
      <c r="P41" s="468">
        <f t="shared" si="67"/>
        <v>2.2102329649664862</v>
      </c>
      <c r="Q41" s="346">
        <f t="shared" si="64"/>
        <v>0.16967956941074122</v>
      </c>
      <c r="R41" s="469">
        <f t="shared" si="64"/>
        <v>0.11102288013859304</v>
      </c>
      <c r="S41" s="421">
        <f t="shared" ref="S41:T47" si="68">O41/K41</f>
        <v>0.12092827807382722</v>
      </c>
      <c r="T41" s="346">
        <f t="shared" si="68"/>
        <v>3.6754771750539934E-2</v>
      </c>
      <c r="U41" s="466">
        <f>U28+U29+U30+U33+U34+U36+U37+U40</f>
        <v>44048</v>
      </c>
      <c r="V41" s="466">
        <f t="shared" ref="V41:AA41" si="69">V28+V29+V30+V33+V34+V36+V37+V40</f>
        <v>27297.440000000002</v>
      </c>
      <c r="W41" s="470">
        <f>W28+W29+W30+W33+W34+W36+W37+W40</f>
        <v>178.47759999999997</v>
      </c>
      <c r="X41" s="470">
        <f>X28+X29+X30+X33+X34+X36+X37+X40</f>
        <v>98.596895084000025</v>
      </c>
      <c r="Y41" s="470">
        <f>Y28+Y29+Y30+Y33+Y34+Y36+Y37+Y40</f>
        <v>27.039999999999996</v>
      </c>
      <c r="Z41" s="470">
        <f t="shared" si="69"/>
        <v>11.034691440522799</v>
      </c>
      <c r="AA41" s="471">
        <f t="shared" si="69"/>
        <v>18.64</v>
      </c>
      <c r="AB41" s="472">
        <f>AB28+AB29+AB30+AB33+AB34+AB36+AB37+AB40</f>
        <v>1.4084011103999758</v>
      </c>
      <c r="AC41" s="350">
        <f t="shared" si="65"/>
        <v>0.15150360605476543</v>
      </c>
      <c r="AD41" s="348">
        <f t="shared" si="65"/>
        <v>0.11191723056919541</v>
      </c>
      <c r="AE41" s="348">
        <f t="shared" si="66"/>
        <v>0.10443887636319631</v>
      </c>
      <c r="AF41" s="473">
        <f t="shared" si="66"/>
        <v>1.4284436738094874E-2</v>
      </c>
      <c r="AG41" s="157">
        <f>SUM(AG28:AG40)</f>
        <v>0</v>
      </c>
      <c r="AH41" s="157">
        <f>SUM(AH28:AH40)</f>
        <v>0</v>
      </c>
      <c r="AI41" s="158"/>
      <c r="AJ41" s="79"/>
      <c r="AK41" s="79"/>
      <c r="AL41" s="79"/>
      <c r="AM41" s="79"/>
      <c r="AN41" s="79"/>
      <c r="AO41" s="79"/>
      <c r="AP41" s="79"/>
      <c r="AQ41" s="80">
        <f>AN41-AO41</f>
        <v>0</v>
      </c>
      <c r="AR41" s="64"/>
      <c r="AS41" s="80"/>
      <c r="AT41" s="64">
        <f>X41-L41</f>
        <v>38.462309567657712</v>
      </c>
      <c r="AU41" s="32">
        <f>SUM(AU28:AU40)</f>
        <v>151.46899999999999</v>
      </c>
      <c r="BA41" s="97">
        <f t="shared" si="60"/>
        <v>10.297348935472916</v>
      </c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Y41" s="85">
        <v>6.27</v>
      </c>
      <c r="BZ41" s="86">
        <v>0.09</v>
      </c>
      <c r="CA41" s="239">
        <v>23091</v>
      </c>
      <c r="CB41" s="45">
        <f t="shared" si="20"/>
        <v>79.880704915999942</v>
      </c>
      <c r="CC41" s="240">
        <f t="shared" si="21"/>
        <v>0.44756711719565906</v>
      </c>
      <c r="CD41" s="45">
        <f t="shared" si="22"/>
        <v>17.231598889600026</v>
      </c>
      <c r="CE41" s="240">
        <f t="shared" si="23"/>
        <v>0.92444200051502279</v>
      </c>
      <c r="CF41" s="241">
        <f t="shared" si="24"/>
        <v>16750.559999999998</v>
      </c>
      <c r="CG41" s="240">
        <f t="shared" si="25"/>
        <v>0.38027969487831453</v>
      </c>
    </row>
    <row r="42" spans="1:86" s="32" customFormat="1" ht="37.5" x14ac:dyDescent="0.25">
      <c r="C42" s="49"/>
      <c r="D42" s="53">
        <v>972</v>
      </c>
      <c r="E42" s="252" t="s">
        <v>107</v>
      </c>
      <c r="F42" s="202">
        <v>972</v>
      </c>
      <c r="G42" s="626">
        <v>25</v>
      </c>
      <c r="H42" s="474" t="s">
        <v>108</v>
      </c>
      <c r="I42" s="294">
        <v>3881.8064516129034</v>
      </c>
      <c r="J42" s="303">
        <v>2246.25</v>
      </c>
      <c r="K42" s="296">
        <f>90919666.4785249/1000000</f>
        <v>90.919666478524888</v>
      </c>
      <c r="L42" s="297">
        <f>57558931.0011965/1000000</f>
        <v>57.558931001196505</v>
      </c>
      <c r="M42" s="475">
        <f>3057959.14407313/1000000</f>
        <v>3.0579591440731302</v>
      </c>
      <c r="N42" s="476">
        <f>-7972609.84057046/1000000</f>
        <v>-7.9726098405704597</v>
      </c>
      <c r="O42" s="296">
        <f>656160.692460225/1000000</f>
        <v>0.65616069246022501</v>
      </c>
      <c r="P42" s="476">
        <f>-10067727.8405705/1000000</f>
        <v>-10.0677278405705</v>
      </c>
      <c r="Q42" s="306">
        <f>M42/K42</f>
        <v>3.363363794119742E-2</v>
      </c>
      <c r="R42" s="477">
        <f t="shared" si="64"/>
        <v>-0.13851212491081061</v>
      </c>
      <c r="S42" s="429">
        <f t="shared" si="68"/>
        <v>7.2169280627003771E-3</v>
      </c>
      <c r="T42" s="302">
        <f>P42/L42</f>
        <v>-0.17491165428977853</v>
      </c>
      <c r="U42" s="294">
        <v>6014</v>
      </c>
      <c r="V42" s="294">
        <v>4265.5</v>
      </c>
      <c r="W42" s="296">
        <f>187437903/1000000</f>
        <v>187.43790300000001</v>
      </c>
      <c r="X42" s="296">
        <f>78779633.1306579/1000000</f>
        <v>78.779633130657899</v>
      </c>
      <c r="Y42" s="296">
        <v>3</v>
      </c>
      <c r="Z42" s="300">
        <f>-27069.889757663/1000000</f>
        <v>-2.7069889757663002E-2</v>
      </c>
      <c r="AA42" s="296">
        <v>0.84</v>
      </c>
      <c r="AB42" s="300">
        <f>-3392456.88975766/1000000</f>
        <v>-3.3924568897576601</v>
      </c>
      <c r="AC42" s="306">
        <f>Y42/W42</f>
        <v>1.6005300699506866E-2</v>
      </c>
      <c r="AD42" s="429">
        <f>Z42/X42</f>
        <v>-3.4361533155107416E-4</v>
      </c>
      <c r="AE42" s="306">
        <f t="shared" si="66"/>
        <v>4.4814841958619222E-3</v>
      </c>
      <c r="AF42" s="302">
        <f>AB42/X42</f>
        <v>-4.3062613456592132E-2</v>
      </c>
      <c r="AG42" s="130"/>
      <c r="AH42" s="37"/>
      <c r="AI42" s="38"/>
      <c r="AJ42" s="96"/>
      <c r="AK42" s="96"/>
      <c r="AL42" s="60"/>
      <c r="AM42" s="60"/>
      <c r="AN42" s="40">
        <v>2250</v>
      </c>
      <c r="AO42" s="40"/>
      <c r="AP42" s="41"/>
      <c r="AQ42" s="40">
        <f>AN42-AO42</f>
        <v>2250</v>
      </c>
      <c r="AS42" s="203"/>
      <c r="AZ42" s="137"/>
      <c r="BA42" s="97">
        <f t="shared" si="60"/>
        <v>0.35304968083084365</v>
      </c>
      <c r="BB42" s="97">
        <f>AB42-BA42</f>
        <v>-3.7455065705885038</v>
      </c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Y42" s="49">
        <v>7.5</v>
      </c>
      <c r="BZ42" s="201">
        <v>7.0000000000000007E-2</v>
      </c>
      <c r="CA42" s="233">
        <v>4570</v>
      </c>
      <c r="CB42" s="45">
        <f t="shared" si="20"/>
        <v>108.65826986934211</v>
      </c>
      <c r="CC42" s="240">
        <f t="shared" si="21"/>
        <v>0.57970276091566231</v>
      </c>
      <c r="CD42" s="45">
        <f t="shared" si="22"/>
        <v>4.2324568897576604</v>
      </c>
      <c r="CE42" s="240">
        <f t="shared" si="23"/>
        <v>5.0386391544734055</v>
      </c>
      <c r="CF42" s="241">
        <f t="shared" si="24"/>
        <v>1748.5</v>
      </c>
      <c r="CG42" s="240">
        <f t="shared" si="25"/>
        <v>0.29073827735284336</v>
      </c>
    </row>
    <row r="43" spans="1:86" s="32" customFormat="1" ht="18.75" x14ac:dyDescent="0.25">
      <c r="C43" s="49"/>
      <c r="D43" s="53"/>
      <c r="E43" s="104"/>
      <c r="F43" s="161"/>
      <c r="G43" s="619"/>
      <c r="H43" s="478" t="s">
        <v>109</v>
      </c>
      <c r="I43" s="311"/>
      <c r="J43" s="328"/>
      <c r="K43" s="479">
        <f>4468923.15870968/1000000</f>
        <v>4.4689231587096794</v>
      </c>
      <c r="L43" s="305">
        <f>3367432/1000000</f>
        <v>3.367432</v>
      </c>
      <c r="M43" s="313">
        <f>1420437.00177146/1000000</f>
        <v>1.42043700177146</v>
      </c>
      <c r="N43" s="480">
        <f>-103430.822258065/1000000</f>
        <v>-0.10343082225806501</v>
      </c>
      <c r="O43" s="313">
        <f>1420437.00177146/1000000</f>
        <v>1.42043700177146</v>
      </c>
      <c r="P43" s="480">
        <f>-103430.822258065/1000000</f>
        <v>-0.10343082225806501</v>
      </c>
      <c r="Q43" s="316">
        <f t="shared" si="64"/>
        <v>0.31784771215032159</v>
      </c>
      <c r="R43" s="323">
        <f t="shared" si="64"/>
        <v>-3.0715044062675952E-2</v>
      </c>
      <c r="S43" s="316">
        <f t="shared" si="68"/>
        <v>0.31784771215032159</v>
      </c>
      <c r="T43" s="324">
        <f t="shared" si="68"/>
        <v>-3.0715044062675952E-2</v>
      </c>
      <c r="U43" s="310"/>
      <c r="V43" s="311"/>
      <c r="W43" s="481">
        <f>5072359/1000000</f>
        <v>5.0723589999999996</v>
      </c>
      <c r="X43" s="479">
        <f>6912225.29/1000000</f>
        <v>6.9122252900000003</v>
      </c>
      <c r="Y43" s="482">
        <v>1.8</v>
      </c>
      <c r="Z43" s="479">
        <f>1121735.43623051/1000000</f>
        <v>1.1217354362305101</v>
      </c>
      <c r="AA43" s="313">
        <v>1.8</v>
      </c>
      <c r="AB43" s="312">
        <f>1121735.43623051/1000000</f>
        <v>1.1217354362305101</v>
      </c>
      <c r="AC43" s="316">
        <f>Y43/W43</f>
        <v>0.3548644723293442</v>
      </c>
      <c r="AD43" s="320">
        <f>Z43/X43</f>
        <v>0.16228282342783854</v>
      </c>
      <c r="AE43" s="316">
        <f t="shared" si="66"/>
        <v>0.3548644723293442</v>
      </c>
      <c r="AF43" s="320">
        <f>AB43/X43</f>
        <v>0.16228282342783854</v>
      </c>
      <c r="AG43" s="159"/>
      <c r="AH43" s="54"/>
      <c r="AI43" s="38"/>
      <c r="AJ43" s="96"/>
      <c r="AK43" s="96"/>
      <c r="AL43" s="60"/>
      <c r="AM43" s="60"/>
      <c r="AN43" s="40"/>
      <c r="AO43" s="40"/>
      <c r="AP43" s="40"/>
      <c r="AQ43" s="40"/>
      <c r="AS43" s="62"/>
      <c r="AZ43" s="137"/>
      <c r="BA43" s="97">
        <f t="shared" si="60"/>
        <v>2.4529031801573984</v>
      </c>
      <c r="BB43" s="97">
        <f>AB43-BA43</f>
        <v>-1.3311677439268883</v>
      </c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Y43" s="49">
        <v>0.78</v>
      </c>
      <c r="BZ43" s="201">
        <v>0.14000000000000001</v>
      </c>
      <c r="CA43" s="233" t="s">
        <v>66</v>
      </c>
      <c r="CB43" s="45">
        <f t="shared" si="20"/>
        <v>-1.8398662900000007</v>
      </c>
      <c r="CC43" s="240">
        <f t="shared" si="21"/>
        <v>-0.36272398897633246</v>
      </c>
      <c r="CD43" s="45">
        <f t="shared" si="22"/>
        <v>0.67826456376948996</v>
      </c>
      <c r="CE43" s="240">
        <f t="shared" si="23"/>
        <v>0.3768136465386055</v>
      </c>
      <c r="CF43" s="241">
        <f t="shared" si="24"/>
        <v>0</v>
      </c>
      <c r="CG43" s="240" t="e">
        <f t="shared" si="25"/>
        <v>#DIV/0!</v>
      </c>
    </row>
    <row r="44" spans="1:86" s="32" customFormat="1" ht="18.75" hidden="1" x14ac:dyDescent="0.25">
      <c r="C44" s="49"/>
      <c r="D44" s="53"/>
      <c r="E44" s="104"/>
      <c r="F44" s="161"/>
      <c r="G44" s="619"/>
      <c r="H44" s="478" t="s">
        <v>110</v>
      </c>
      <c r="I44" s="311"/>
      <c r="J44" s="328"/>
      <c r="K44" s="479"/>
      <c r="L44" s="305"/>
      <c r="M44" s="312"/>
      <c r="N44" s="305"/>
      <c r="O44" s="479"/>
      <c r="P44" s="305"/>
      <c r="Q44" s="316" t="e">
        <f t="shared" si="64"/>
        <v>#DIV/0!</v>
      </c>
      <c r="R44" s="315" t="e">
        <f t="shared" si="64"/>
        <v>#DIV/0!</v>
      </c>
      <c r="S44" s="316" t="e">
        <f t="shared" si="68"/>
        <v>#DIV/0!</v>
      </c>
      <c r="T44" s="320" t="e">
        <f t="shared" si="68"/>
        <v>#DIV/0!</v>
      </c>
      <c r="U44" s="311"/>
      <c r="V44" s="311"/>
      <c r="W44" s="312"/>
      <c r="X44" s="479"/>
      <c r="Y44" s="479"/>
      <c r="Z44" s="322"/>
      <c r="AA44" s="312"/>
      <c r="AB44" s="322"/>
      <c r="AC44" s="324" t="e">
        <f t="shared" ref="AC44:AD45" si="70">Y44/W44</f>
        <v>#DIV/0!</v>
      </c>
      <c r="AD44" s="320" t="e">
        <f t="shared" si="70"/>
        <v>#DIV/0!</v>
      </c>
      <c r="AE44" s="324" t="e">
        <f t="shared" si="66"/>
        <v>#DIV/0!</v>
      </c>
      <c r="AF44" s="320" t="e">
        <f t="shared" ref="AF44:AF45" si="71">AB44/X44</f>
        <v>#DIV/0!</v>
      </c>
      <c r="AG44" s="159"/>
      <c r="AH44" s="54"/>
      <c r="AI44" s="38"/>
      <c r="AJ44" s="96"/>
      <c r="AK44" s="96"/>
      <c r="AL44" s="60"/>
      <c r="AM44" s="60"/>
      <c r="AN44" s="40"/>
      <c r="AO44" s="40"/>
      <c r="AP44" s="40"/>
      <c r="AQ44" s="40"/>
      <c r="AS44" s="62"/>
      <c r="AZ44" s="137"/>
      <c r="BA44" s="97" t="e">
        <f t="shared" si="60"/>
        <v>#DIV/0!</v>
      </c>
      <c r="BB44" s="97" t="e">
        <f t="shared" ref="BB44:BB51" si="72">AB44-BA44</f>
        <v>#DIV/0!</v>
      </c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Y44" s="49"/>
      <c r="BZ44" s="201" t="s">
        <v>66</v>
      </c>
      <c r="CA44" s="233" t="s">
        <v>66</v>
      </c>
      <c r="CB44" s="45">
        <f t="shared" si="20"/>
        <v>0</v>
      </c>
      <c r="CC44" s="240" t="e">
        <f t="shared" si="21"/>
        <v>#DIV/0!</v>
      </c>
      <c r="CD44" s="45">
        <f t="shared" si="22"/>
        <v>0</v>
      </c>
      <c r="CE44" s="240" t="e">
        <f t="shared" si="23"/>
        <v>#DIV/0!</v>
      </c>
      <c r="CF44" s="241">
        <f t="shared" si="24"/>
        <v>0</v>
      </c>
      <c r="CG44" s="240" t="e">
        <f t="shared" si="25"/>
        <v>#DIV/0!</v>
      </c>
    </row>
    <row r="45" spans="1:86" s="32" customFormat="1" ht="37.5" x14ac:dyDescent="0.25">
      <c r="C45" s="49"/>
      <c r="D45" s="53"/>
      <c r="E45" s="104"/>
      <c r="F45" s="161"/>
      <c r="G45" s="619"/>
      <c r="H45" s="478" t="s">
        <v>149</v>
      </c>
      <c r="I45" s="310"/>
      <c r="J45" s="328"/>
      <c r="K45" s="479">
        <f>12175250.1283216/1000000</f>
        <v>12.175250128321599</v>
      </c>
      <c r="L45" s="305">
        <f>2918808.34396573/1000000</f>
        <v>2.91880834396573</v>
      </c>
      <c r="M45" s="479">
        <f>1735221.48316026/1000000</f>
        <v>1.7352214831602599</v>
      </c>
      <c r="N45" s="305">
        <f>152568.629056638/1000000</f>
        <v>0.15256862905663798</v>
      </c>
      <c r="O45" s="479">
        <f>1735221.48316026/1000000</f>
        <v>1.7352214831602599</v>
      </c>
      <c r="P45" s="480">
        <f>-363338.440943362/1000000</f>
        <v>-0.36333844094336204</v>
      </c>
      <c r="Q45" s="316">
        <f t="shared" si="64"/>
        <v>0.14252039710657396</v>
      </c>
      <c r="R45" s="315">
        <f t="shared" si="64"/>
        <v>5.2270862309974714E-2</v>
      </c>
      <c r="S45" s="316">
        <f t="shared" si="68"/>
        <v>0.14252039710657396</v>
      </c>
      <c r="T45" s="324">
        <f t="shared" si="68"/>
        <v>-0.12448177410980707</v>
      </c>
      <c r="U45" s="311"/>
      <c r="V45" s="311"/>
      <c r="W45" s="312">
        <f>17726365/1000000</f>
        <v>17.726365000000001</v>
      </c>
      <c r="X45" s="479">
        <f>2818808.34396573/1000000</f>
        <v>2.8188083439657303</v>
      </c>
      <c r="Y45" s="479">
        <v>2.2400000000000002</v>
      </c>
      <c r="Z45" s="312">
        <f>465775.558147547/1000000</f>
        <v>0.46577555814754701</v>
      </c>
      <c r="AA45" s="312">
        <v>1.39</v>
      </c>
      <c r="AB45" s="322">
        <f>-50131.5118524532/1000000</f>
        <v>-5.0131511852453202E-2</v>
      </c>
      <c r="AC45" s="316">
        <f>Y45/W45</f>
        <v>0.12636544491778207</v>
      </c>
      <c r="AD45" s="320">
        <f t="shared" si="70"/>
        <v>0.16523846296419564</v>
      </c>
      <c r="AE45" s="316">
        <f t="shared" si="66"/>
        <v>7.8414271623087978E-2</v>
      </c>
      <c r="AF45" s="324">
        <f t="shared" si="71"/>
        <v>-1.7784647175381953E-2</v>
      </c>
      <c r="AG45" s="159"/>
      <c r="AH45" s="54"/>
      <c r="AI45" s="38"/>
      <c r="AJ45" s="96"/>
      <c r="AK45" s="96"/>
      <c r="AL45" s="60"/>
      <c r="AM45" s="60"/>
      <c r="AN45" s="40"/>
      <c r="AO45" s="40"/>
      <c r="AP45" s="40"/>
      <c r="AQ45" s="40"/>
      <c r="AS45" s="62"/>
      <c r="AZ45" s="137"/>
      <c r="BA45" s="97"/>
      <c r="BB45" s="97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Y45" s="49"/>
      <c r="BZ45" s="201"/>
      <c r="CA45" s="233"/>
      <c r="CB45" s="45"/>
      <c r="CC45" s="240"/>
      <c r="CD45" s="45"/>
      <c r="CE45" s="240"/>
      <c r="CF45" s="241"/>
      <c r="CG45" s="240"/>
    </row>
    <row r="46" spans="1:86" s="105" customFormat="1" ht="18.75" x14ac:dyDescent="0.25">
      <c r="C46" s="99"/>
      <c r="D46" s="160"/>
      <c r="E46" s="104"/>
      <c r="F46" s="161"/>
      <c r="G46" s="619"/>
      <c r="H46" s="483" t="s">
        <v>111</v>
      </c>
      <c r="I46" s="484">
        <f>SUM(I42:I44)</f>
        <v>3881.8064516129034</v>
      </c>
      <c r="J46" s="484">
        <f t="shared" ref="J46" si="73">SUM(J42:J44)</f>
        <v>2246.25</v>
      </c>
      <c r="K46" s="485">
        <f t="shared" ref="K46:P46" si="74">SUM(K42:K45)</f>
        <v>107.56383976555617</v>
      </c>
      <c r="L46" s="485">
        <f t="shared" si="74"/>
        <v>63.845171345162235</v>
      </c>
      <c r="M46" s="485">
        <f t="shared" si="74"/>
        <v>6.2136176290048493</v>
      </c>
      <c r="N46" s="486">
        <f t="shared" si="74"/>
        <v>-7.9234720337718869</v>
      </c>
      <c r="O46" s="485">
        <f t="shared" si="74"/>
        <v>3.811819177391945</v>
      </c>
      <c r="P46" s="486">
        <f t="shared" si="74"/>
        <v>-10.534497103771928</v>
      </c>
      <c r="Q46" s="487">
        <f>M46/K46</f>
        <v>5.7766788937136465E-2</v>
      </c>
      <c r="R46" s="488">
        <f>N46/L46</f>
        <v>-0.12410448381343839</v>
      </c>
      <c r="S46" s="489">
        <f>O46/K46</f>
        <v>3.5437738051189917E-2</v>
      </c>
      <c r="T46" s="490">
        <f>P46/L46</f>
        <v>-0.16500068653304917</v>
      </c>
      <c r="U46" s="491">
        <f>SUM(U42:U45)</f>
        <v>6014</v>
      </c>
      <c r="V46" s="491">
        <f>SUM(V42:V44)</f>
        <v>4265.5</v>
      </c>
      <c r="W46" s="492">
        <f t="shared" ref="W46:AB46" si="75">SUM(W42:W45)</f>
        <v>210.236627</v>
      </c>
      <c r="X46" s="492">
        <f t="shared" si="75"/>
        <v>88.510666764623622</v>
      </c>
      <c r="Y46" s="492">
        <f t="shared" si="75"/>
        <v>7.04</v>
      </c>
      <c r="Z46" s="493">
        <f t="shared" si="75"/>
        <v>1.5604411046203941</v>
      </c>
      <c r="AA46" s="493">
        <f t="shared" si="75"/>
        <v>4.03</v>
      </c>
      <c r="AB46" s="494">
        <f t="shared" si="75"/>
        <v>-2.3208529653796033</v>
      </c>
      <c r="AC46" s="487">
        <f>Y46/W46</f>
        <v>3.3486077571059966E-2</v>
      </c>
      <c r="AD46" s="489">
        <f>Z46/X46</f>
        <v>1.7629977963786833E-2</v>
      </c>
      <c r="AE46" s="487">
        <f t="shared" ref="AE46" si="76">AA46/W46</f>
        <v>1.9168876791388022E-2</v>
      </c>
      <c r="AF46" s="490">
        <f>AB46/X46</f>
        <v>-2.6221166896770155E-2</v>
      </c>
      <c r="AG46" s="253"/>
      <c r="AH46" s="254"/>
      <c r="AI46" s="108"/>
      <c r="AJ46" s="109"/>
      <c r="AK46" s="109"/>
      <c r="AL46" s="255"/>
      <c r="AM46" s="255"/>
      <c r="AN46" s="111"/>
      <c r="AO46" s="111"/>
      <c r="AP46" s="111"/>
      <c r="AQ46" s="111"/>
      <c r="AS46" s="256"/>
      <c r="AT46" s="64">
        <f>X46-L46</f>
        <v>24.665495419461386</v>
      </c>
      <c r="AU46" s="105">
        <f>60.816+2.73+7.25</f>
        <v>70.795999999999992</v>
      </c>
      <c r="AZ46" s="137"/>
      <c r="BA46" s="97">
        <f t="shared" si="60"/>
        <v>1.6966500659346728</v>
      </c>
      <c r="BB46" s="97">
        <f t="shared" si="72"/>
        <v>-4.0175030313142761</v>
      </c>
      <c r="BC46" s="66">
        <v>26138</v>
      </c>
      <c r="BD46" s="66">
        <v>23980.660635693323</v>
      </c>
      <c r="BE46" s="66"/>
      <c r="BF46" s="66"/>
      <c r="BG46" s="66"/>
      <c r="BH46" s="66"/>
      <c r="BI46" s="66"/>
      <c r="BJ46" s="66"/>
      <c r="BK46" s="66"/>
      <c r="BL46" s="66"/>
      <c r="BM46" s="66"/>
      <c r="BY46" s="99">
        <v>8.2799999999999994</v>
      </c>
      <c r="BZ46" s="201">
        <v>0.08</v>
      </c>
      <c r="CA46" s="233">
        <v>4570</v>
      </c>
      <c r="CB46" s="45">
        <f t="shared" si="20"/>
        <v>121.72596023537638</v>
      </c>
      <c r="CC46" s="240">
        <f t="shared" si="21"/>
        <v>0.57899502085988275</v>
      </c>
      <c r="CD46" s="45">
        <f t="shared" si="22"/>
        <v>6.3508529653796035</v>
      </c>
      <c r="CE46" s="240">
        <f t="shared" si="23"/>
        <v>1.5758940360743432</v>
      </c>
      <c r="CF46" s="241">
        <f t="shared" si="24"/>
        <v>1748.5</v>
      </c>
      <c r="CG46" s="240">
        <f t="shared" si="25"/>
        <v>0.29073827735284336</v>
      </c>
    </row>
    <row r="47" spans="1:86" s="32" customFormat="1" ht="18.75" x14ac:dyDescent="0.3">
      <c r="B47" s="32" t="s">
        <v>112</v>
      </c>
      <c r="E47" s="49"/>
      <c r="F47" s="53"/>
      <c r="G47" s="364">
        <v>26</v>
      </c>
      <c r="H47" s="495" t="s">
        <v>113</v>
      </c>
      <c r="I47" s="311">
        <v>419</v>
      </c>
      <c r="J47" s="318">
        <v>247</v>
      </c>
      <c r="K47" s="312">
        <f>10881500/1000000</f>
        <v>10.881500000000001</v>
      </c>
      <c r="L47" s="384">
        <f>6502116.75642595/1000000</f>
        <v>6.5021167564259494</v>
      </c>
      <c r="M47" s="312">
        <f>1540453.39173311/1000000</f>
        <v>1.54045339173311</v>
      </c>
      <c r="N47" s="295">
        <f>858465.759963667/1000000</f>
        <v>0.85846575996366703</v>
      </c>
      <c r="O47" s="312">
        <f>1095292.10141053/1000000</f>
        <v>1.0952921014105301</v>
      </c>
      <c r="P47" s="295">
        <f>604599.953512054/1000000</f>
        <v>0.60459995351205409</v>
      </c>
      <c r="Q47" s="320">
        <f t="shared" ref="Q47:R54" si="77">M47/K47</f>
        <v>0.14156627227249091</v>
      </c>
      <c r="R47" s="315">
        <f t="shared" si="64"/>
        <v>0.13202865960769739</v>
      </c>
      <c r="S47" s="320">
        <f t="shared" ref="S47:T54" si="78">O47/K47</f>
        <v>0.10065635265455407</v>
      </c>
      <c r="T47" s="320">
        <f t="shared" si="68"/>
        <v>9.2985096417183916E-2</v>
      </c>
      <c r="U47" s="311">
        <v>500</v>
      </c>
      <c r="V47" s="311">
        <v>373</v>
      </c>
      <c r="W47" s="454">
        <f>11975000/1000000</f>
        <v>11.975</v>
      </c>
      <c r="X47" s="312">
        <f>7501544.41860465/1000000</f>
        <v>7.5015444186046496</v>
      </c>
      <c r="Y47" s="312">
        <v>1.6</v>
      </c>
      <c r="Z47" s="312">
        <f>753072.946996263/1000000</f>
        <v>0.75307294699626304</v>
      </c>
      <c r="AA47" s="312">
        <v>1.1200000000000001</v>
      </c>
      <c r="AB47" s="312">
        <f>385467.946996263/1000000</f>
        <v>0.38546794699626302</v>
      </c>
      <c r="AC47" s="320">
        <f t="shared" si="65"/>
        <v>0.13361169102296452</v>
      </c>
      <c r="AD47" s="320">
        <f t="shared" si="65"/>
        <v>0.10038905390316158</v>
      </c>
      <c r="AE47" s="320">
        <f t="shared" si="66"/>
        <v>9.3528183716075172E-2</v>
      </c>
      <c r="AF47" s="320">
        <f t="shared" si="66"/>
        <v>5.138514490966159E-2</v>
      </c>
      <c r="AG47" s="139">
        <v>0</v>
      </c>
      <c r="AH47" s="57">
        <v>0</v>
      </c>
      <c r="AI47" s="95"/>
      <c r="AJ47" s="96"/>
      <c r="AK47" s="96"/>
      <c r="AL47" s="96"/>
      <c r="AM47" s="96"/>
      <c r="AN47" s="40"/>
      <c r="AO47" s="40"/>
      <c r="AP47" s="61">
        <v>0</v>
      </c>
      <c r="AQ47" s="40">
        <f>AN47-AO47</f>
        <v>0</v>
      </c>
      <c r="AS47" s="62"/>
      <c r="AT47" s="64">
        <f>X47-L47</f>
        <v>0.99942766217870016</v>
      </c>
      <c r="AZ47" s="137"/>
      <c r="BA47" s="97">
        <f>X47*AE47</f>
        <v>0.70160582453755393</v>
      </c>
      <c r="BB47" s="97">
        <f t="shared" si="72"/>
        <v>-0.31613787754129091</v>
      </c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Y47" s="49">
        <v>0.33</v>
      </c>
      <c r="BZ47" s="201">
        <v>0.04</v>
      </c>
      <c r="CA47" s="233">
        <v>351</v>
      </c>
      <c r="CB47" s="45">
        <f t="shared" si="20"/>
        <v>4.47345558139535</v>
      </c>
      <c r="CC47" s="240">
        <f t="shared" si="21"/>
        <v>0.37356622809146972</v>
      </c>
      <c r="CD47" s="45">
        <f t="shared" si="22"/>
        <v>0.73453205300373714</v>
      </c>
      <c r="CE47" s="240">
        <f t="shared" si="23"/>
        <v>0.65583219018190808</v>
      </c>
      <c r="CF47" s="241">
        <f t="shared" si="24"/>
        <v>127</v>
      </c>
      <c r="CG47" s="240">
        <f t="shared" si="25"/>
        <v>0.254</v>
      </c>
    </row>
    <row r="48" spans="1:86" s="32" customFormat="1" ht="18.75" x14ac:dyDescent="0.25">
      <c r="D48" s="32">
        <v>1906</v>
      </c>
      <c r="E48" s="49" t="s">
        <v>114</v>
      </c>
      <c r="F48" s="53">
        <v>1906</v>
      </c>
      <c r="G48" s="364">
        <v>27</v>
      </c>
      <c r="H48" s="495" t="s">
        <v>115</v>
      </c>
      <c r="I48" s="311"/>
      <c r="J48" s="318"/>
      <c r="K48" s="312"/>
      <c r="L48" s="384"/>
      <c r="M48" s="312"/>
      <c r="N48" s="295"/>
      <c r="O48" s="312"/>
      <c r="P48" s="295"/>
      <c r="Q48" s="320"/>
      <c r="R48" s="315"/>
      <c r="S48" s="320"/>
      <c r="T48" s="320"/>
      <c r="U48" s="311"/>
      <c r="V48" s="311"/>
      <c r="W48" s="312"/>
      <c r="X48" s="312"/>
      <c r="Y48" s="322">
        <v>-0.79</v>
      </c>
      <c r="Z48" s="322">
        <f>-744523.1/1000000</f>
        <v>-0.74452309999999999</v>
      </c>
      <c r="AA48" s="322">
        <v>-0.79</v>
      </c>
      <c r="AB48" s="322">
        <f>-1148411.57/1000000</f>
        <v>-1.1484115700000002</v>
      </c>
      <c r="AC48" s="320"/>
      <c r="AD48" s="320"/>
      <c r="AE48" s="320"/>
      <c r="AF48" s="320"/>
      <c r="AG48" s="139"/>
      <c r="AH48" s="57"/>
      <c r="AI48" s="38"/>
      <c r="AJ48" s="96"/>
      <c r="AK48" s="96"/>
      <c r="AL48" s="60"/>
      <c r="AM48" s="102"/>
      <c r="AN48" s="40">
        <v>1125</v>
      </c>
      <c r="AO48" s="40"/>
      <c r="AP48" s="61"/>
      <c r="AQ48" s="40">
        <f>AN48-AO48</f>
        <v>1125</v>
      </c>
      <c r="AS48" s="62"/>
      <c r="AT48" s="64">
        <f>X48-L48</f>
        <v>0</v>
      </c>
      <c r="AU48" s="32">
        <v>31.244</v>
      </c>
      <c r="AZ48" s="137"/>
      <c r="BA48" s="97">
        <f t="shared" si="60"/>
        <v>0</v>
      </c>
      <c r="BB48" s="97">
        <f t="shared" si="72"/>
        <v>-1.1484115700000002</v>
      </c>
      <c r="BC48" s="65"/>
      <c r="BD48" s="65"/>
      <c r="BE48" s="65"/>
      <c r="BF48" s="68"/>
      <c r="BG48" s="68"/>
      <c r="BH48" s="65"/>
      <c r="BI48" s="65"/>
      <c r="BJ48" s="65"/>
      <c r="BK48" s="138"/>
      <c r="BL48" s="66"/>
      <c r="BM48" s="65">
        <v>566877.7071000014</v>
      </c>
      <c r="BY48" s="49">
        <v>1.88</v>
      </c>
      <c r="BZ48" s="201">
        <v>0.1</v>
      </c>
      <c r="CA48" s="233">
        <v>1375</v>
      </c>
      <c r="CB48" s="45">
        <f t="shared" si="20"/>
        <v>0</v>
      </c>
      <c r="CC48" s="240" t="e">
        <f t="shared" si="21"/>
        <v>#DIV/0!</v>
      </c>
      <c r="CD48" s="45">
        <f t="shared" si="22"/>
        <v>0.35841157000000012</v>
      </c>
      <c r="CE48" s="240">
        <f t="shared" si="23"/>
        <v>-0.45368553164556974</v>
      </c>
      <c r="CF48" s="241">
        <f t="shared" si="24"/>
        <v>0</v>
      </c>
      <c r="CG48" s="240" t="e">
        <f t="shared" si="25"/>
        <v>#DIV/0!</v>
      </c>
    </row>
    <row r="49" spans="1:85" s="32" customFormat="1" ht="15" customHeight="1" x14ac:dyDescent="0.25">
      <c r="D49" s="32">
        <v>749</v>
      </c>
      <c r="E49" s="49" t="s">
        <v>116</v>
      </c>
      <c r="F49" s="53">
        <v>749</v>
      </c>
      <c r="G49" s="364">
        <v>28</v>
      </c>
      <c r="H49" s="496" t="s">
        <v>117</v>
      </c>
      <c r="I49" s="311">
        <v>1548.3870967741932</v>
      </c>
      <c r="J49" s="318">
        <v>1082</v>
      </c>
      <c r="K49" s="312">
        <f>23669063.8064516/1000000</f>
        <v>23.6690638064516</v>
      </c>
      <c r="L49" s="384">
        <f>16522421.725/1000000</f>
        <v>16.522421725000001</v>
      </c>
      <c r="M49" s="312">
        <f>4092273.87096775/1000000</f>
        <v>4.09227387096775</v>
      </c>
      <c r="N49" s="295">
        <f>1736543.24750483/1000000</f>
        <v>1.7365432475048299</v>
      </c>
      <c r="O49" s="312">
        <f>2422055.80645162/1000000</f>
        <v>2.42205580645162</v>
      </c>
      <c r="P49" s="295">
        <f>45078.1952467637/1000000</f>
        <v>4.5078195246763701E-2</v>
      </c>
      <c r="Q49" s="320">
        <f>M49/K49</f>
        <v>0.17289546829698849</v>
      </c>
      <c r="R49" s="315">
        <f>N49/L49</f>
        <v>0.10510222268913971</v>
      </c>
      <c r="S49" s="316">
        <f t="shared" si="78"/>
        <v>0.10233002142617181</v>
      </c>
      <c r="T49" s="320">
        <f>P49/L49</f>
        <v>2.7283043610099897E-3</v>
      </c>
      <c r="U49" s="311">
        <v>2000</v>
      </c>
      <c r="V49" s="311">
        <v>1970.6</v>
      </c>
      <c r="W49" s="312">
        <f>30972541/1000000</f>
        <v>30.972541</v>
      </c>
      <c r="X49" s="312">
        <f>22482947.823/1000000</f>
        <v>22.482947823</v>
      </c>
      <c r="Y49" s="312">
        <v>5.2</v>
      </c>
      <c r="Z49" s="312">
        <f>3105640.48422881/1000000</f>
        <v>3.1056404842288097</v>
      </c>
      <c r="AA49" s="313">
        <v>3.12</v>
      </c>
      <c r="AB49" s="312">
        <v>0.628</v>
      </c>
      <c r="AC49" s="316">
        <f t="shared" si="65"/>
        <v>0.16789064868781675</v>
      </c>
      <c r="AD49" s="320">
        <f t="shared" si="65"/>
        <v>0.13813315356502082</v>
      </c>
      <c r="AE49" s="316">
        <f t="shared" si="66"/>
        <v>0.10073438921269004</v>
      </c>
      <c r="AF49" s="316">
        <f t="shared" si="66"/>
        <v>2.7932280274989455E-2</v>
      </c>
      <c r="AG49" s="139"/>
      <c r="AH49" s="57"/>
      <c r="AI49" s="58"/>
      <c r="AJ49" s="59"/>
      <c r="AK49" s="59"/>
      <c r="AL49" s="60"/>
      <c r="AM49" s="60"/>
      <c r="AN49" s="40">
        <v>675</v>
      </c>
      <c r="AO49" s="40"/>
      <c r="AP49" s="61"/>
      <c r="AQ49" s="40">
        <f>AN49-AO49</f>
        <v>675</v>
      </c>
      <c r="AS49" s="62"/>
      <c r="AT49" s="64">
        <f>X49-L49</f>
        <v>5.960526097999999</v>
      </c>
      <c r="AU49" s="32">
        <v>9.77</v>
      </c>
      <c r="AZ49" s="137"/>
      <c r="BA49" s="97">
        <f t="shared" si="60"/>
        <v>2.264806016650684</v>
      </c>
      <c r="BB49" s="97">
        <f t="shared" si="72"/>
        <v>-1.6368060166506839</v>
      </c>
      <c r="BC49" s="66"/>
      <c r="BD49" s="66"/>
      <c r="BE49" s="66"/>
      <c r="BF49" s="68"/>
      <c r="BG49" s="68"/>
      <c r="BH49" s="66"/>
      <c r="BI49" s="138"/>
      <c r="BJ49" s="68"/>
      <c r="BK49" s="68"/>
      <c r="BL49" s="66"/>
      <c r="BM49" s="66">
        <v>15739.663000000044</v>
      </c>
      <c r="BY49" s="49">
        <v>6.72</v>
      </c>
      <c r="BZ49" s="201">
        <v>0.24</v>
      </c>
      <c r="CA49" s="233">
        <v>2000</v>
      </c>
      <c r="CB49" s="45">
        <f t="shared" si="20"/>
        <v>8.4895931769999997</v>
      </c>
      <c r="CC49" s="240">
        <f t="shared" si="21"/>
        <v>0.27410063568888327</v>
      </c>
      <c r="CD49" s="45">
        <f t="shared" si="22"/>
        <v>2.492</v>
      </c>
      <c r="CE49" s="240">
        <f t="shared" si="23"/>
        <v>0.79871794871794866</v>
      </c>
      <c r="CF49" s="241">
        <f t="shared" si="24"/>
        <v>29.400000000000091</v>
      </c>
      <c r="CG49" s="240">
        <f t="shared" si="25"/>
        <v>1.4700000000000045E-2</v>
      </c>
    </row>
    <row r="50" spans="1:85" s="32" customFormat="1" ht="19.5" thickBot="1" x14ac:dyDescent="0.35">
      <c r="D50" s="32">
        <v>247</v>
      </c>
      <c r="E50" s="49" t="s">
        <v>118</v>
      </c>
      <c r="F50" s="53">
        <v>247</v>
      </c>
      <c r="G50" s="364">
        <v>29</v>
      </c>
      <c r="H50" s="496" t="s">
        <v>150</v>
      </c>
      <c r="I50" s="311"/>
      <c r="J50" s="318"/>
      <c r="K50" s="312"/>
      <c r="L50" s="295"/>
      <c r="M50" s="312"/>
      <c r="N50" s="295"/>
      <c r="O50" s="312"/>
      <c r="P50" s="314"/>
      <c r="Q50" s="320"/>
      <c r="R50" s="317"/>
      <c r="S50" s="316"/>
      <c r="T50" s="316"/>
      <c r="U50" s="311">
        <v>250</v>
      </c>
      <c r="V50" s="311"/>
      <c r="W50" s="312">
        <f>5693000/1000000</f>
        <v>5.6929999999999996</v>
      </c>
      <c r="X50" s="312"/>
      <c r="Y50" s="312">
        <v>0.53</v>
      </c>
      <c r="Z50" s="322">
        <v>-5.3999999999999999E-2</v>
      </c>
      <c r="AA50" s="497">
        <v>-0.56999999999999995</v>
      </c>
      <c r="AB50" s="322">
        <v>-0.16200000000000001</v>
      </c>
      <c r="AC50" s="316">
        <f t="shared" si="65"/>
        <v>9.3096785526084677E-2</v>
      </c>
      <c r="AD50" s="316"/>
      <c r="AE50" s="324">
        <f t="shared" si="66"/>
        <v>-0.10012295801861935</v>
      </c>
      <c r="AF50" s="324"/>
      <c r="AG50" s="230"/>
      <c r="AH50" s="231"/>
      <c r="AI50" s="162"/>
      <c r="AJ50" s="59"/>
      <c r="AK50" s="228"/>
      <c r="AL50" s="60"/>
      <c r="AM50" s="229"/>
      <c r="AN50" s="40">
        <v>900</v>
      </c>
      <c r="AO50" s="163"/>
      <c r="AP50" s="61"/>
      <c r="AQ50" s="40">
        <f>AN50-AO50</f>
        <v>900</v>
      </c>
      <c r="AR50" s="73"/>
      <c r="AS50" s="164"/>
      <c r="AT50" s="64">
        <f>X50-L50</f>
        <v>0</v>
      </c>
      <c r="AU50" s="32">
        <v>14.693</v>
      </c>
      <c r="AZ50" s="137"/>
      <c r="BA50" s="97">
        <f t="shared" si="60"/>
        <v>0</v>
      </c>
      <c r="BB50" s="97">
        <f t="shared" si="72"/>
        <v>-0.16200000000000001</v>
      </c>
      <c r="BC50" s="165"/>
      <c r="BD50" s="65"/>
      <c r="BE50" s="65"/>
      <c r="BF50" s="138"/>
      <c r="BG50" s="138"/>
      <c r="BH50" s="65"/>
      <c r="BI50" s="68"/>
      <c r="BJ50" s="65"/>
      <c r="BK50" s="68"/>
      <c r="BL50" s="68"/>
      <c r="BM50" s="68">
        <v>-120635.7592559671</v>
      </c>
      <c r="BY50" s="49">
        <v>2.67</v>
      </c>
      <c r="BZ50" s="201">
        <v>0.13</v>
      </c>
      <c r="CA50" s="233">
        <v>600</v>
      </c>
      <c r="CB50" s="45">
        <f t="shared" si="20"/>
        <v>5.6929999999999996</v>
      </c>
      <c r="CC50" s="240">
        <f t="shared" si="21"/>
        <v>1</v>
      </c>
      <c r="CD50" s="45">
        <f t="shared" si="22"/>
        <v>-0.40799999999999992</v>
      </c>
      <c r="CE50" s="240">
        <f t="shared" si="23"/>
        <v>0.71578947368421042</v>
      </c>
      <c r="CF50" s="241">
        <f t="shared" si="24"/>
        <v>250</v>
      </c>
      <c r="CG50" s="240">
        <f t="shared" si="25"/>
        <v>1</v>
      </c>
    </row>
    <row r="51" spans="1:85" s="32" customFormat="1" ht="19.5" thickBot="1" x14ac:dyDescent="0.35">
      <c r="E51" s="49"/>
      <c r="F51" s="70"/>
      <c r="G51" s="498">
        <v>30</v>
      </c>
      <c r="H51" s="499" t="s">
        <v>119</v>
      </c>
      <c r="I51" s="333">
        <v>960</v>
      </c>
      <c r="J51" s="339">
        <v>738.25</v>
      </c>
      <c r="K51" s="335">
        <f>22694618.09/1000000</f>
        <v>22.694618089999999</v>
      </c>
      <c r="L51" s="334">
        <f>18123187.767/1000000</f>
        <v>18.123187767000001</v>
      </c>
      <c r="M51" s="335">
        <f>2741914.40819983/1000000</f>
        <v>2.7419144081998299</v>
      </c>
      <c r="N51" s="334">
        <f>1944201.47458668/1000000</f>
        <v>1.94420147458668</v>
      </c>
      <c r="O51" s="335">
        <f>1904577.63400628/1000000</f>
        <v>1.9045776340062799</v>
      </c>
      <c r="P51" s="334">
        <f>1171606.635877/1000000</f>
        <v>1.1716066358769999</v>
      </c>
      <c r="Q51" s="320">
        <f>M51/K51</f>
        <v>0.12081782550057577</v>
      </c>
      <c r="R51" s="317">
        <f t="shared" si="77"/>
        <v>0.10727701437419422</v>
      </c>
      <c r="S51" s="316">
        <f t="shared" si="78"/>
        <v>8.3921995358251913E-2</v>
      </c>
      <c r="T51" s="316">
        <f t="shared" si="78"/>
        <v>6.4646829848021836E-2</v>
      </c>
      <c r="U51" s="333">
        <v>1104</v>
      </c>
      <c r="V51" s="333">
        <v>1153.25</v>
      </c>
      <c r="W51" s="335">
        <f>27978134/1000000</f>
        <v>27.978134000000001</v>
      </c>
      <c r="X51" s="335">
        <f>27160673.672/1000000</f>
        <v>27.160673671999998</v>
      </c>
      <c r="Y51" s="335">
        <v>4.05</v>
      </c>
      <c r="Z51" s="335">
        <f>3899875.13754966/1000000</f>
        <v>3.8998751375496603</v>
      </c>
      <c r="AA51" s="500">
        <v>1.98</v>
      </c>
      <c r="AB51" s="335">
        <f>2527490.13754966/1000000</f>
        <v>2.5274901375496603</v>
      </c>
      <c r="AC51" s="338">
        <f>Y51/W51</f>
        <v>0.14475590116195738</v>
      </c>
      <c r="AD51" s="316">
        <f t="shared" si="65"/>
        <v>0.14358536112342643</v>
      </c>
      <c r="AE51" s="338">
        <f>AA51/W51</f>
        <v>7.0769551679179171E-2</v>
      </c>
      <c r="AF51" s="316">
        <f t="shared" si="66"/>
        <v>9.3056975245619761E-2</v>
      </c>
      <c r="AG51" s="166"/>
      <c r="AH51" s="167"/>
      <c r="AI51" s="162"/>
      <c r="AJ51" s="61"/>
      <c r="AK51" s="168"/>
      <c r="AL51" s="40"/>
      <c r="AM51" s="169"/>
      <c r="AN51" s="40"/>
      <c r="AO51" s="163"/>
      <c r="AP51" s="61"/>
      <c r="AQ51" s="40"/>
      <c r="AR51" s="73"/>
      <c r="AS51" s="164"/>
      <c r="AT51" s="64"/>
      <c r="AZ51" s="137"/>
      <c r="BA51" s="97">
        <f t="shared" si="60"/>
        <v>1.922148699071925</v>
      </c>
      <c r="BB51" s="97">
        <f t="shared" si="72"/>
        <v>0.60534143847773536</v>
      </c>
      <c r="BC51" s="165"/>
      <c r="BD51" s="65"/>
      <c r="BE51" s="65"/>
      <c r="BF51" s="68"/>
      <c r="BG51" s="68"/>
      <c r="BH51" s="65"/>
      <c r="BI51" s="68"/>
      <c r="BJ51" s="65"/>
      <c r="BK51" s="65"/>
      <c r="BL51" s="66"/>
      <c r="BM51" s="65"/>
      <c r="BY51" s="49">
        <v>1.77</v>
      </c>
      <c r="BZ51" s="201">
        <v>0.08</v>
      </c>
      <c r="CA51" s="233">
        <v>1005</v>
      </c>
      <c r="CB51" s="45">
        <f t="shared" si="20"/>
        <v>0.81746032800000279</v>
      </c>
      <c r="CC51" s="240">
        <f t="shared" si="21"/>
        <v>2.9217828751553009E-2</v>
      </c>
      <c r="CD51" s="45">
        <f t="shared" si="22"/>
        <v>-0.54749013754966036</v>
      </c>
      <c r="CE51" s="240">
        <f t="shared" si="23"/>
        <v>-0.27651017047962645</v>
      </c>
      <c r="CF51" s="241">
        <f t="shared" si="24"/>
        <v>-49.25</v>
      </c>
      <c r="CG51" s="240">
        <f t="shared" si="25"/>
        <v>-4.4610507246376808E-2</v>
      </c>
    </row>
    <row r="52" spans="1:85" s="32" customFormat="1" ht="15.75" customHeight="1" thickBot="1" x14ac:dyDescent="0.3">
      <c r="A52" s="75"/>
      <c r="B52" s="75"/>
      <c r="C52" s="75"/>
      <c r="D52" s="75"/>
      <c r="E52" s="49"/>
      <c r="F52" s="170"/>
      <c r="G52" s="614" t="s">
        <v>120</v>
      </c>
      <c r="H52" s="615"/>
      <c r="I52" s="342">
        <f>I46+I47+I48+I49+I50+I51</f>
        <v>6809.1935483870966</v>
      </c>
      <c r="J52" s="342">
        <f>J46+J47+J48+J49+J50+J51</f>
        <v>4313.5</v>
      </c>
      <c r="K52" s="344">
        <f t="shared" ref="K52:P52" si="79">K46+K47+K48+K49+K50+K51</f>
        <v>164.80902166200778</v>
      </c>
      <c r="L52" s="344">
        <f>L46+L47+L48+L49+L50+L51</f>
        <v>104.9928975935882</v>
      </c>
      <c r="M52" s="344">
        <f>M46+M47+M48+M49+M50+M51</f>
        <v>14.588259299905538</v>
      </c>
      <c r="N52" s="344">
        <f t="shared" si="79"/>
        <v>-3.3842615517167101</v>
      </c>
      <c r="O52" s="344">
        <f t="shared" si="79"/>
        <v>9.2337447192603754</v>
      </c>
      <c r="P52" s="344">
        <f t="shared" si="79"/>
        <v>-8.7132123191361117</v>
      </c>
      <c r="Q52" s="346">
        <f t="shared" si="77"/>
        <v>8.8516145249762521E-2</v>
      </c>
      <c r="R52" s="501">
        <f t="shared" si="77"/>
        <v>-3.2233242717204361E-2</v>
      </c>
      <c r="S52" s="421">
        <f t="shared" si="78"/>
        <v>5.6026937276510529E-2</v>
      </c>
      <c r="T52" s="346">
        <f t="shared" si="78"/>
        <v>-8.2988587979195061E-2</v>
      </c>
      <c r="U52" s="342">
        <f>U46+U47+U48+U49+U50+U51</f>
        <v>9868</v>
      </c>
      <c r="V52" s="342">
        <f t="shared" ref="V52:AB52" si="80">V46+V47+V48+V49+V50+V51</f>
        <v>7762.35</v>
      </c>
      <c r="W52" s="344">
        <f t="shared" si="80"/>
        <v>286.85530199999999</v>
      </c>
      <c r="X52" s="344">
        <f>X46+X47+X48+X49+X50+X51</f>
        <v>145.65583267822828</v>
      </c>
      <c r="Y52" s="344">
        <f>Y46+Y47+Y48+Y49+Y50+Y51</f>
        <v>17.63</v>
      </c>
      <c r="Z52" s="344">
        <f t="shared" si="80"/>
        <v>8.520506573395128</v>
      </c>
      <c r="AA52" s="344">
        <f t="shared" si="80"/>
        <v>8.89</v>
      </c>
      <c r="AB52" s="416">
        <f t="shared" si="80"/>
        <v>-9.0306450833680163E-2</v>
      </c>
      <c r="AC52" s="350">
        <f t="shared" si="65"/>
        <v>6.1459557752918927E-2</v>
      </c>
      <c r="AD52" s="348">
        <f t="shared" si="65"/>
        <v>5.8497530903674683E-2</v>
      </c>
      <c r="AE52" s="348">
        <f t="shared" si="66"/>
        <v>3.0991234737575115E-2</v>
      </c>
      <c r="AF52" s="348">
        <f t="shared" si="66"/>
        <v>-6.1999886426229332E-4</v>
      </c>
      <c r="AG52" s="171">
        <f>SUM(AG42:AG50)</f>
        <v>0</v>
      </c>
      <c r="AH52" s="171">
        <f>SUM(AH42:AH50)</f>
        <v>0</v>
      </c>
      <c r="AI52" s="158"/>
      <c r="AJ52" s="79"/>
      <c r="AK52" s="79"/>
      <c r="AL52" s="79"/>
      <c r="AM52" s="79"/>
      <c r="AN52" s="79"/>
      <c r="AO52" s="79"/>
      <c r="AP52" s="79"/>
      <c r="AQ52" s="80">
        <f>AN52-AO52</f>
        <v>0</v>
      </c>
      <c r="AS52" s="80"/>
      <c r="AT52" s="64">
        <f>X52-L52</f>
        <v>40.662935084640083</v>
      </c>
      <c r="AU52" s="32">
        <f>116.75+7.25+0.53+2.73</f>
        <v>127.26</v>
      </c>
      <c r="BA52" s="97">
        <f t="shared" si="60"/>
        <v>4.5140541014279369</v>
      </c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Y52" s="85">
        <v>21.65</v>
      </c>
      <c r="BZ52" s="86">
        <v>0.11</v>
      </c>
      <c r="CA52" s="85">
        <v>9901</v>
      </c>
    </row>
    <row r="53" spans="1:85" s="32" customFormat="1" ht="15.75" customHeight="1" thickBot="1" x14ac:dyDescent="0.3">
      <c r="A53" s="75"/>
      <c r="B53" s="75"/>
      <c r="C53" s="75"/>
      <c r="D53" s="75"/>
      <c r="E53" s="75"/>
      <c r="F53" s="75"/>
      <c r="G53" s="502"/>
      <c r="H53" s="502"/>
      <c r="I53" s="503">
        <f t="shared" ref="I53:P53" si="81">I52+I41+I27+I14</f>
        <v>73991.423548387102</v>
      </c>
      <c r="J53" s="503">
        <f t="shared" si="81"/>
        <v>42800.575665242402</v>
      </c>
      <c r="K53" s="504">
        <f t="shared" si="81"/>
        <v>881.02202151526251</v>
      </c>
      <c r="L53" s="504">
        <f t="shared" si="81"/>
        <v>516.78739976394093</v>
      </c>
      <c r="M53" s="504">
        <f t="shared" si="81"/>
        <v>96.302041441447173</v>
      </c>
      <c r="N53" s="504">
        <f t="shared" si="81"/>
        <v>38.806121152336353</v>
      </c>
      <c r="O53" s="504">
        <f t="shared" si="81"/>
        <v>73.952976622949507</v>
      </c>
      <c r="P53" s="504">
        <f t="shared" si="81"/>
        <v>16.337750956258645</v>
      </c>
      <c r="Q53" s="505">
        <f t="shared" si="77"/>
        <v>0.10930718993359335</v>
      </c>
      <c r="R53" s="506">
        <f t="shared" si="77"/>
        <v>7.5091074530962407E-2</v>
      </c>
      <c r="S53" s="505">
        <f t="shared" si="78"/>
        <v>8.393998653490907E-2</v>
      </c>
      <c r="T53" s="505">
        <f>P53/L53</f>
        <v>3.1614065984815871E-2</v>
      </c>
      <c r="U53" s="503">
        <f t="shared" ref="U53:AB53" si="82">U52+U41+U27+U14</f>
        <v>119730</v>
      </c>
      <c r="V53" s="503">
        <f t="shared" si="82"/>
        <v>46242.950000000004</v>
      </c>
      <c r="W53" s="504">
        <f t="shared" si="82"/>
        <v>1242.9441689999999</v>
      </c>
      <c r="X53" s="504">
        <f t="shared" si="82"/>
        <v>393.81624906822827</v>
      </c>
      <c r="Y53" s="503">
        <f t="shared" si="82"/>
        <v>150.72999999999999</v>
      </c>
      <c r="Z53" s="503">
        <f t="shared" si="82"/>
        <v>-32.518463117312706</v>
      </c>
      <c r="AA53" s="503">
        <f t="shared" si="82"/>
        <v>115.49</v>
      </c>
      <c r="AB53" s="504">
        <f t="shared" si="82"/>
        <v>-69.693230131664336</v>
      </c>
      <c r="AC53" s="505">
        <f t="shared" si="65"/>
        <v>0.121268520147022</v>
      </c>
      <c r="AD53" s="505">
        <f t="shared" si="65"/>
        <v>-8.257268001066892E-2</v>
      </c>
      <c r="AE53" s="505">
        <f t="shared" si="66"/>
        <v>9.2916482397529157E-2</v>
      </c>
      <c r="AF53" s="505">
        <f t="shared" si="66"/>
        <v>-0.17696890439782248</v>
      </c>
      <c r="AG53" s="174">
        <f>AG52+AG41+AG27+AG14</f>
        <v>0</v>
      </c>
      <c r="AH53" s="174">
        <f>AH52+AH41+AH27+AH14</f>
        <v>0</v>
      </c>
      <c r="AI53" s="175"/>
      <c r="AJ53" s="176"/>
      <c r="AK53" s="176"/>
      <c r="AL53" s="176"/>
      <c r="AM53" s="176"/>
      <c r="AN53" s="176"/>
      <c r="AO53" s="176"/>
      <c r="AP53" s="176"/>
      <c r="AQ53" s="176"/>
      <c r="AS53" s="173"/>
      <c r="BA53" s="97">
        <f>X53*AE53</f>
        <v>36.592020574408991</v>
      </c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Y53" s="177">
        <v>61.39</v>
      </c>
      <c r="BZ53" s="178">
        <v>7.0000000000000007E-2</v>
      </c>
      <c r="CA53" s="177">
        <v>83075</v>
      </c>
    </row>
    <row r="54" spans="1:85" s="32" customFormat="1" ht="15.75" hidden="1" customHeight="1" thickBot="1" x14ac:dyDescent="0.3">
      <c r="A54" s="75"/>
      <c r="B54" s="75"/>
      <c r="C54" s="75"/>
      <c r="D54" s="75"/>
      <c r="E54" s="75"/>
      <c r="F54" s="75"/>
      <c r="G54" s="502"/>
      <c r="H54" s="502" t="s">
        <v>121</v>
      </c>
      <c r="I54" s="503">
        <f t="shared" ref="I54:P54" si="83">I53-I20</f>
        <v>73991.423548387102</v>
      </c>
      <c r="J54" s="503">
        <f t="shared" si="83"/>
        <v>42800.575665242402</v>
      </c>
      <c r="K54" s="504">
        <f t="shared" si="83"/>
        <v>881.02202151526251</v>
      </c>
      <c r="L54" s="504">
        <f t="shared" si="83"/>
        <v>516.78739976394093</v>
      </c>
      <c r="M54" s="504">
        <f t="shared" si="83"/>
        <v>96.302041441447173</v>
      </c>
      <c r="N54" s="504">
        <f t="shared" si="83"/>
        <v>38.806121152336353</v>
      </c>
      <c r="O54" s="504">
        <f t="shared" si="83"/>
        <v>73.952976622949507</v>
      </c>
      <c r="P54" s="507">
        <f t="shared" si="83"/>
        <v>16.337750956258645</v>
      </c>
      <c r="Q54" s="505">
        <f t="shared" si="77"/>
        <v>0.10930718993359335</v>
      </c>
      <c r="R54" s="506">
        <f t="shared" si="77"/>
        <v>7.5091074530962407E-2</v>
      </c>
      <c r="S54" s="505">
        <f t="shared" si="78"/>
        <v>8.393998653490907E-2</v>
      </c>
      <c r="T54" s="505">
        <f t="shared" si="78"/>
        <v>3.1614065984815871E-2</v>
      </c>
      <c r="U54" s="503">
        <f>U53-U20</f>
        <v>117560</v>
      </c>
      <c r="V54" s="503">
        <f>V53-V20</f>
        <v>45483.890000000007</v>
      </c>
      <c r="W54" s="504">
        <f>W53-W20</f>
        <v>1220.5811889999998</v>
      </c>
      <c r="X54" s="504">
        <f>X53+X42+X28+X15</f>
        <v>493.21975656438616</v>
      </c>
      <c r="Y54" s="504">
        <f>Y53+Y42+Y28+Y15</f>
        <v>158.76</v>
      </c>
      <c r="Z54" s="504">
        <f>Z53+Z42+Z28+Z15</f>
        <v>-34.13470947830502</v>
      </c>
      <c r="AA54" s="504">
        <f>AA53+AA42+AA28+AA15</f>
        <v>119.66</v>
      </c>
      <c r="AB54" s="504">
        <f>AB53-AB20</f>
        <v>-65.978746540364341</v>
      </c>
      <c r="AC54" s="505">
        <f t="shared" si="65"/>
        <v>0.13006918460710443</v>
      </c>
      <c r="AD54" s="505">
        <f t="shared" si="65"/>
        <v>-6.9207911937828034E-2</v>
      </c>
      <c r="AE54" s="505">
        <f t="shared" si="66"/>
        <v>9.8035264739771449E-2</v>
      </c>
      <c r="AF54" s="505">
        <f>AB54/X54</f>
        <v>-0.13377149974678945</v>
      </c>
      <c r="AG54" s="179"/>
      <c r="AH54" s="179"/>
      <c r="AI54" s="180"/>
      <c r="AJ54" s="181"/>
      <c r="AK54" s="181"/>
      <c r="AL54" s="181"/>
      <c r="AM54" s="181"/>
      <c r="AN54" s="181"/>
      <c r="AO54" s="181"/>
      <c r="AP54" s="181"/>
      <c r="AQ54" s="181"/>
      <c r="AS54" s="18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Y54" s="177">
        <v>61.08</v>
      </c>
      <c r="BZ54" s="183">
        <v>7.0000000000000007E-2</v>
      </c>
      <c r="CA54" s="177">
        <v>82917</v>
      </c>
    </row>
    <row r="55" spans="1:85" s="32" customFormat="1" ht="15" customHeight="1" x14ac:dyDescent="0.25">
      <c r="G55" s="508"/>
      <c r="H55" s="509"/>
      <c r="I55" s="510"/>
      <c r="J55" s="510"/>
      <c r="K55" s="510"/>
      <c r="L55" s="511"/>
      <c r="M55" s="512"/>
      <c r="N55" s="509"/>
      <c r="O55" s="510"/>
      <c r="P55" s="509"/>
      <c r="Q55" s="510"/>
      <c r="R55" s="510"/>
      <c r="S55" s="510"/>
      <c r="T55" s="513"/>
      <c r="U55" s="510"/>
      <c r="V55" s="514"/>
      <c r="W55" s="515"/>
      <c r="X55" s="516"/>
      <c r="Y55" s="516"/>
      <c r="Z55" s="517"/>
      <c r="AA55" s="517"/>
      <c r="AB55" s="517"/>
      <c r="AC55" s="518"/>
      <c r="AD55" s="517"/>
      <c r="AE55" s="517"/>
      <c r="AF55" s="518"/>
      <c r="AI55" s="180"/>
      <c r="AJ55" s="180"/>
      <c r="AK55" s="180"/>
      <c r="AL55" s="180"/>
      <c r="AM55" s="180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</row>
    <row r="56" spans="1:85" ht="15" customHeight="1" x14ac:dyDescent="0.3">
      <c r="G56" s="508" t="s">
        <v>122</v>
      </c>
      <c r="H56" s="510" t="s">
        <v>123</v>
      </c>
      <c r="I56" s="510"/>
      <c r="J56" s="510"/>
      <c r="K56" s="510"/>
      <c r="L56" s="510"/>
      <c r="M56" s="510"/>
      <c r="N56" s="510"/>
      <c r="O56" s="519">
        <f>AA56/I2*J2</f>
        <v>0</v>
      </c>
      <c r="P56" s="519">
        <f>AB56/31*15</f>
        <v>2.4193548387096775</v>
      </c>
      <c r="Q56" s="520"/>
      <c r="R56" s="510"/>
      <c r="S56" s="510"/>
      <c r="T56" s="510"/>
      <c r="U56" s="521"/>
      <c r="V56" s="521"/>
      <c r="W56" s="521"/>
      <c r="X56" s="522"/>
      <c r="Y56" s="519"/>
      <c r="Z56" s="523"/>
      <c r="AA56" s="519"/>
      <c r="AB56" s="519">
        <v>5</v>
      </c>
      <c r="AC56" s="524"/>
      <c r="AD56" s="525"/>
      <c r="AE56" s="526"/>
      <c r="AF56" s="526"/>
    </row>
    <row r="57" spans="1:85" ht="15" customHeight="1" x14ac:dyDescent="0.3">
      <c r="G57" s="508" t="s">
        <v>124</v>
      </c>
      <c r="H57" s="527" t="s">
        <v>125</v>
      </c>
      <c r="I57" s="527"/>
      <c r="J57" s="527"/>
      <c r="K57" s="527"/>
      <c r="L57" s="527"/>
      <c r="M57" s="527"/>
      <c r="N57" s="527"/>
      <c r="O57" s="528">
        <f>AA57/I2*J2</f>
        <v>0</v>
      </c>
      <c r="P57" s="528">
        <f>P53*4%*88%</f>
        <v>0.57508883366030428</v>
      </c>
      <c r="Q57" s="527"/>
      <c r="R57" s="527"/>
      <c r="S57" s="527"/>
      <c r="T57" s="527"/>
      <c r="U57" s="527"/>
      <c r="V57" s="527"/>
      <c r="W57" s="527"/>
      <c r="X57" s="527"/>
      <c r="Y57" s="527"/>
      <c r="Z57" s="527"/>
      <c r="AA57" s="529"/>
      <c r="AB57" s="529">
        <v>0</v>
      </c>
      <c r="AC57" s="524"/>
      <c r="AD57" s="530"/>
      <c r="AE57" s="526"/>
      <c r="AF57" s="531"/>
    </row>
    <row r="58" spans="1:85" ht="15" customHeight="1" x14ac:dyDescent="0.3">
      <c r="G58" s="513" t="s">
        <v>126</v>
      </c>
      <c r="H58" s="510" t="s">
        <v>127</v>
      </c>
      <c r="I58" s="510"/>
      <c r="J58" s="510"/>
      <c r="K58" s="510"/>
      <c r="L58" s="510"/>
      <c r="M58" s="510"/>
      <c r="N58" s="510"/>
      <c r="O58" s="519">
        <f>AA58/I2*J2</f>
        <v>0</v>
      </c>
      <c r="P58" s="532">
        <f>AB58/31*15</f>
        <v>0.3774193548387097</v>
      </c>
      <c r="Q58" s="524"/>
      <c r="R58" s="510"/>
      <c r="S58" s="510"/>
      <c r="T58" s="510"/>
      <c r="U58" s="521"/>
      <c r="V58" s="521"/>
      <c r="W58" s="521"/>
      <c r="X58" s="532"/>
      <c r="Y58" s="519"/>
      <c r="Z58" s="519"/>
      <c r="AA58" s="519"/>
      <c r="AB58" s="519">
        <v>0.78</v>
      </c>
      <c r="AC58" s="524"/>
      <c r="AD58" s="530"/>
      <c r="AE58" s="533"/>
      <c r="AF58" s="531"/>
    </row>
    <row r="59" spans="1:85" ht="15" customHeight="1" x14ac:dyDescent="0.3">
      <c r="G59" s="513" t="s">
        <v>128</v>
      </c>
      <c r="H59" s="510" t="s">
        <v>129</v>
      </c>
      <c r="I59" s="510"/>
      <c r="J59" s="510"/>
      <c r="K59" s="510"/>
      <c r="L59" s="510"/>
      <c r="M59" s="510"/>
      <c r="N59" s="510"/>
      <c r="O59" s="534">
        <f>(AA59)/I2*J2</f>
        <v>0</v>
      </c>
      <c r="P59" s="535">
        <f>-1.98/31*15</f>
        <v>-0.95806451612903232</v>
      </c>
      <c r="Q59" s="524"/>
      <c r="R59" s="510"/>
      <c r="S59" s="510"/>
      <c r="T59" s="510"/>
      <c r="U59" s="521"/>
      <c r="V59" s="521"/>
      <c r="W59" s="521"/>
      <c r="X59" s="525"/>
      <c r="Y59" s="532"/>
      <c r="Z59" s="519"/>
      <c r="AA59" s="534"/>
      <c r="AB59" s="534">
        <v>0</v>
      </c>
      <c r="AC59" s="524"/>
      <c r="AD59" s="530"/>
      <c r="AE59" s="526"/>
      <c r="AF59" s="531"/>
    </row>
    <row r="60" spans="1:85" ht="19.5" thickBot="1" x14ac:dyDescent="0.35">
      <c r="G60" s="508" t="s">
        <v>130</v>
      </c>
      <c r="H60" s="509" t="s">
        <v>131</v>
      </c>
      <c r="I60" s="509"/>
      <c r="J60" s="509"/>
      <c r="K60" s="509"/>
      <c r="L60" s="509"/>
      <c r="M60" s="509"/>
      <c r="N60" s="509"/>
      <c r="O60" s="536">
        <f>O53-O56-O57-O58-O59</f>
        <v>73.952976622949507</v>
      </c>
      <c r="P60" s="536">
        <f>P53-P56-P57-P58-P59</f>
        <v>13.923952445178987</v>
      </c>
      <c r="Q60" s="537">
        <f>P60/L54</f>
        <v>2.6943289351751214E-2</v>
      </c>
      <c r="R60" s="509"/>
      <c r="S60" s="509"/>
      <c r="T60" s="509"/>
      <c r="U60" s="521"/>
      <c r="V60" s="521"/>
      <c r="W60" s="521"/>
      <c r="X60" s="522"/>
      <c r="Y60" s="519"/>
      <c r="Z60" s="523"/>
      <c r="AA60" s="536"/>
      <c r="AB60" s="536">
        <f>AB53-AB56-AB57-AB58-AB59</f>
        <v>-75.473230131664337</v>
      </c>
      <c r="AC60" s="538"/>
      <c r="AD60" s="530"/>
      <c r="AE60" s="526"/>
      <c r="AF60" s="531"/>
      <c r="AV60" s="2"/>
    </row>
    <row r="61" spans="1:85" ht="19.5" thickTop="1" x14ac:dyDescent="0.3">
      <c r="G61" s="508"/>
      <c r="H61" s="509"/>
      <c r="I61" s="509"/>
      <c r="J61" s="509"/>
      <c r="K61" s="509"/>
      <c r="L61" s="509"/>
      <c r="M61" s="509"/>
      <c r="N61" s="509"/>
      <c r="O61" s="539">
        <f>O60/K54</f>
        <v>8.393998653490907E-2</v>
      </c>
      <c r="P61" s="519"/>
      <c r="Q61" s="531"/>
      <c r="R61" s="509"/>
      <c r="S61" s="509"/>
      <c r="T61" s="509"/>
      <c r="U61" s="521"/>
      <c r="V61" s="521"/>
      <c r="W61" s="521"/>
      <c r="X61" s="523"/>
      <c r="Y61" s="519"/>
      <c r="Z61" s="523"/>
      <c r="AA61" s="540"/>
      <c r="AB61" s="540">
        <f>AB60/X54</f>
        <v>-0.15302150639176976</v>
      </c>
      <c r="AC61" s="531"/>
      <c r="AD61" s="531"/>
      <c r="AE61" s="531"/>
      <c r="AF61" s="531"/>
    </row>
    <row r="62" spans="1:85" ht="18.75" x14ac:dyDescent="0.3">
      <c r="G62" s="541"/>
      <c r="H62" s="521"/>
      <c r="I62" s="521"/>
      <c r="J62" s="521"/>
      <c r="K62" s="521"/>
      <c r="L62" s="521"/>
      <c r="M62" s="521"/>
      <c r="N62" s="521"/>
      <c r="O62" s="542"/>
      <c r="P62" s="519"/>
      <c r="Q62" s="531"/>
      <c r="R62" s="521"/>
      <c r="S62" s="521"/>
      <c r="T62" s="521"/>
      <c r="U62" s="531"/>
      <c r="V62" s="531"/>
      <c r="W62" s="531"/>
      <c r="X62" s="543"/>
      <c r="Y62" s="519"/>
      <c r="Z62" s="523"/>
      <c r="AA62" s="542"/>
      <c r="AB62" s="519"/>
      <c r="AC62" s="531"/>
      <c r="AD62" s="531"/>
      <c r="AE62" s="531"/>
      <c r="AF62" s="531"/>
    </row>
    <row r="63" spans="1:85" ht="18.75" x14ac:dyDescent="0.3">
      <c r="G63" s="541" t="s">
        <v>132</v>
      </c>
      <c r="H63" s="521" t="s">
        <v>133</v>
      </c>
      <c r="I63" s="521"/>
      <c r="J63" s="521"/>
      <c r="K63" s="521"/>
      <c r="L63" s="521"/>
      <c r="M63" s="521"/>
      <c r="N63" s="521"/>
      <c r="O63" s="519">
        <f>AA63/I2*J2</f>
        <v>0</v>
      </c>
      <c r="P63" s="519">
        <f>AB63/31*15</f>
        <v>6.82258064516129</v>
      </c>
      <c r="Q63" s="544"/>
      <c r="R63" s="521"/>
      <c r="S63" s="521"/>
      <c r="T63" s="521"/>
      <c r="U63" s="531"/>
      <c r="V63" s="531"/>
      <c r="W63" s="531"/>
      <c r="X63" s="545"/>
      <c r="Y63" s="519"/>
      <c r="Z63" s="523"/>
      <c r="AA63" s="519"/>
      <c r="AB63" s="519">
        <v>14.1</v>
      </c>
      <c r="AC63" s="544"/>
      <c r="AD63" s="531"/>
      <c r="AE63" s="531"/>
      <c r="AF63" s="531"/>
    </row>
    <row r="64" spans="1:85" ht="18.75" x14ac:dyDescent="0.3">
      <c r="G64" s="541" t="s">
        <v>134</v>
      </c>
      <c r="H64" s="527" t="s">
        <v>135</v>
      </c>
      <c r="I64" s="527"/>
      <c r="J64" s="527"/>
      <c r="K64" s="527"/>
      <c r="L64" s="527"/>
      <c r="M64" s="527"/>
      <c r="N64" s="527"/>
      <c r="O64" s="528">
        <f>AA64/I2*J2</f>
        <v>0</v>
      </c>
      <c r="P64" s="528">
        <f>(P54*4%)*12%</f>
        <v>7.8421204590041496E-2</v>
      </c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46"/>
      <c r="AB64" s="546"/>
      <c r="AC64" s="544"/>
      <c r="AD64" s="531"/>
      <c r="AE64" s="531"/>
      <c r="AF64" s="531"/>
    </row>
    <row r="65" spans="1:45" ht="18.75" x14ac:dyDescent="0.3">
      <c r="G65" s="541" t="s">
        <v>136</v>
      </c>
      <c r="H65" s="521" t="s">
        <v>137</v>
      </c>
      <c r="I65" s="521"/>
      <c r="J65" s="521"/>
      <c r="K65" s="521"/>
      <c r="L65" s="521"/>
      <c r="M65" s="521"/>
      <c r="N65" s="521"/>
      <c r="O65" s="532">
        <f>O63+O64</f>
        <v>0</v>
      </c>
      <c r="P65" s="532">
        <f>P63+P64</f>
        <v>6.9010018497513315</v>
      </c>
      <c r="Q65" s="544"/>
      <c r="R65" s="521"/>
      <c r="S65" s="521"/>
      <c r="T65" s="521"/>
      <c r="U65" s="531"/>
      <c r="V65" s="531"/>
      <c r="W65" s="531"/>
      <c r="X65" s="543"/>
      <c r="Y65" s="531"/>
      <c r="Z65" s="523"/>
      <c r="AA65" s="532"/>
      <c r="AB65" s="532">
        <f>AB63+AB64</f>
        <v>14.1</v>
      </c>
      <c r="AC65" s="544"/>
      <c r="AD65" s="531"/>
      <c r="AE65" s="531"/>
      <c r="AF65" s="531"/>
    </row>
    <row r="66" spans="1:45" ht="19.5" thickBot="1" x14ac:dyDescent="0.35">
      <c r="G66" s="541" t="s">
        <v>138</v>
      </c>
      <c r="H66" s="521" t="s">
        <v>139</v>
      </c>
      <c r="I66" s="521"/>
      <c r="J66" s="521"/>
      <c r="K66" s="521"/>
      <c r="L66" s="547">
        <f>L53</f>
        <v>516.78739976394093</v>
      </c>
      <c r="M66" s="521"/>
      <c r="N66" s="521"/>
      <c r="O66" s="548">
        <f>O60-O65</f>
        <v>73.952976622949507</v>
      </c>
      <c r="P66" s="548">
        <f>P60-P65</f>
        <v>7.0229505954276554</v>
      </c>
      <c r="Q66" s="549">
        <f>P66/L66</f>
        <v>1.358963202012203E-2</v>
      </c>
      <c r="R66" s="521"/>
      <c r="S66" s="521"/>
      <c r="T66" s="521"/>
      <c r="U66" s="531"/>
      <c r="V66" s="531"/>
      <c r="W66" s="531"/>
      <c r="X66" s="547">
        <f>X53</f>
        <v>393.81624906822827</v>
      </c>
      <c r="Y66" s="531"/>
      <c r="Z66" s="523"/>
      <c r="AA66" s="550"/>
      <c r="AB66" s="550">
        <f>AB60-AB65</f>
        <v>-89.573230131664332</v>
      </c>
      <c r="AC66" s="551">
        <f>AB66/X66</f>
        <v>-0.22744929987930959</v>
      </c>
      <c r="AD66" s="531"/>
      <c r="AE66" s="531"/>
      <c r="AF66" s="531"/>
    </row>
    <row r="67" spans="1:45" ht="20.25" thickTop="1" thickBot="1" x14ac:dyDescent="0.35">
      <c r="G67" s="54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31"/>
      <c r="V67" s="531"/>
      <c r="W67" s="531"/>
      <c r="X67" s="525"/>
      <c r="Y67" s="531"/>
      <c r="Z67" s="523"/>
      <c r="AA67" s="531"/>
      <c r="AB67" s="552"/>
      <c r="AC67" s="531"/>
      <c r="AD67" s="531"/>
      <c r="AE67" s="531"/>
      <c r="AF67" s="531"/>
    </row>
    <row r="68" spans="1:45" ht="19.5" thickBot="1" x14ac:dyDescent="0.3">
      <c r="A68" s="5"/>
      <c r="B68" s="5"/>
      <c r="C68" s="5"/>
      <c r="D68" s="5"/>
      <c r="E68" s="5"/>
      <c r="F68" s="5"/>
      <c r="G68" s="553">
        <v>31</v>
      </c>
      <c r="H68" s="553" t="s">
        <v>153</v>
      </c>
      <c r="I68" s="554"/>
      <c r="J68" s="554"/>
      <c r="K68" s="555"/>
      <c r="L68" s="556"/>
      <c r="M68" s="557">
        <f>-3.35/31*15</f>
        <v>-1.6209677419354838</v>
      </c>
      <c r="N68" s="557">
        <v>-1.6209677419354838</v>
      </c>
      <c r="O68" s="557">
        <f>-3.69/31*15</f>
        <v>-1.7854838709677419</v>
      </c>
      <c r="P68" s="557">
        <v>-1.7854838709677419</v>
      </c>
      <c r="Q68" s="557">
        <v>0</v>
      </c>
      <c r="R68" s="557">
        <v>0</v>
      </c>
      <c r="S68" s="558">
        <v>0</v>
      </c>
      <c r="T68" s="558">
        <v>0</v>
      </c>
      <c r="U68" s="554">
        <v>0</v>
      </c>
      <c r="V68" s="554">
        <v>0</v>
      </c>
      <c r="W68" s="555">
        <v>62.854999999999997</v>
      </c>
      <c r="X68" s="555">
        <v>56.328000000000003</v>
      </c>
      <c r="Y68" s="559">
        <v>10.17</v>
      </c>
      <c r="Z68" s="559">
        <v>9.2710000000000008</v>
      </c>
      <c r="AA68" s="559">
        <v>4.9790000000000001</v>
      </c>
      <c r="AB68" s="559">
        <v>4.6219999999999999</v>
      </c>
      <c r="AC68" s="560">
        <f t="shared" ref="AC68" si="84">Y68/W68</f>
        <v>0.16180097048763026</v>
      </c>
      <c r="AD68" s="561">
        <f t="shared" ref="AD68" si="85">Z68/X68</f>
        <v>0.16458954693935521</v>
      </c>
      <c r="AE68" s="560">
        <f t="shared" ref="AE68" si="86">AA68/W68</f>
        <v>7.921406411582213E-2</v>
      </c>
      <c r="AF68" s="560">
        <f t="shared" ref="AF68" si="87">AB68/X68</f>
        <v>8.2055105808833961E-2</v>
      </c>
      <c r="AG68" s="82"/>
      <c r="AH68" s="187"/>
      <c r="AI68" s="188"/>
      <c r="AJ68" s="189">
        <v>0</v>
      </c>
      <c r="AK68" s="190">
        <v>0</v>
      </c>
      <c r="AL68" s="191"/>
      <c r="AM68" s="191"/>
      <c r="AN68" s="192"/>
      <c r="AO68" s="193"/>
      <c r="AP68" s="194"/>
      <c r="AQ68" s="47"/>
      <c r="AS68" s="195"/>
    </row>
    <row r="69" spans="1:45" ht="18.75" x14ac:dyDescent="0.3">
      <c r="G69" s="531"/>
      <c r="H69" s="531"/>
      <c r="I69" s="531"/>
      <c r="J69" s="531"/>
      <c r="K69" s="531"/>
      <c r="L69" s="531"/>
      <c r="M69" s="531"/>
      <c r="N69" s="531"/>
      <c r="O69" s="531"/>
      <c r="P69" s="531"/>
      <c r="Q69" s="531"/>
      <c r="R69" s="531"/>
      <c r="S69" s="531"/>
      <c r="T69" s="531"/>
      <c r="U69" s="531"/>
      <c r="V69" s="531"/>
      <c r="W69" s="531"/>
      <c r="X69" s="542"/>
      <c r="Y69" s="531"/>
      <c r="Z69" s="519"/>
      <c r="AA69" s="531"/>
      <c r="AB69" s="542"/>
      <c r="AC69" s="531"/>
      <c r="AD69" s="531"/>
      <c r="AE69" s="531"/>
      <c r="AF69" s="531"/>
    </row>
    <row r="70" spans="1:45" x14ac:dyDescent="0.25">
      <c r="I70"/>
      <c r="K70"/>
      <c r="U70" s="2"/>
      <c r="X70" s="196"/>
      <c r="Y70" s="197"/>
      <c r="Z70" s="184"/>
      <c r="AB70" s="198"/>
    </row>
    <row r="71" spans="1:45" hidden="1" x14ac:dyDescent="0.25">
      <c r="H71" s="14" t="s">
        <v>140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X71" s="196"/>
      <c r="Z71" s="184"/>
      <c r="AB71" s="196"/>
    </row>
    <row r="72" spans="1:45" hidden="1" x14ac:dyDescent="0.25">
      <c r="H72" t="s">
        <v>141</v>
      </c>
      <c r="I72"/>
      <c r="K72"/>
      <c r="X72" s="196"/>
      <c r="Z72" s="184"/>
      <c r="AB72" s="196"/>
    </row>
    <row r="73" spans="1:45" hidden="1" x14ac:dyDescent="0.25">
      <c r="I73"/>
      <c r="K73"/>
      <c r="X73" s="196"/>
      <c r="Z73" s="184"/>
      <c r="AB73" s="196"/>
    </row>
    <row r="74" spans="1:45" hidden="1" x14ac:dyDescent="0.25">
      <c r="I74"/>
      <c r="K74"/>
      <c r="X74" s="196"/>
      <c r="Z74" s="184"/>
      <c r="AB74" s="196"/>
    </row>
    <row r="75" spans="1:45" hidden="1" x14ac:dyDescent="0.25">
      <c r="I75"/>
      <c r="K75"/>
      <c r="X75" s="196"/>
      <c r="Z75" s="184"/>
      <c r="AB75" s="196"/>
    </row>
    <row r="76" spans="1:45" hidden="1" x14ac:dyDescent="0.25">
      <c r="H76" t="s">
        <v>142</v>
      </c>
      <c r="I76"/>
      <c r="K76"/>
      <c r="X76" s="196"/>
      <c r="Z76" s="184"/>
      <c r="AB76" s="196"/>
    </row>
    <row r="77" spans="1:45" x14ac:dyDescent="0.25">
      <c r="I77"/>
      <c r="K77"/>
      <c r="X77" s="196"/>
      <c r="Z77" s="184"/>
      <c r="AB77" s="196"/>
    </row>
    <row r="78" spans="1:45" x14ac:dyDescent="0.25">
      <c r="I78"/>
      <c r="J78">
        <v>1320</v>
      </c>
      <c r="K78">
        <v>926.24</v>
      </c>
      <c r="L78">
        <v>9.2364619999999995</v>
      </c>
      <c r="M78">
        <v>6.9990705546030005</v>
      </c>
      <c r="N78">
        <v>0.33234799999999998</v>
      </c>
      <c r="O78">
        <v>-0.241927404095853</v>
      </c>
      <c r="P78">
        <v>0.190328</v>
      </c>
      <c r="Q78">
        <v>-0.27024837183778805</v>
      </c>
      <c r="X78" s="196"/>
      <c r="Z78" s="184"/>
      <c r="AB78" s="196"/>
    </row>
    <row r="79" spans="1:45" x14ac:dyDescent="0.25">
      <c r="I79"/>
      <c r="J79">
        <v>960</v>
      </c>
      <c r="K79">
        <v>1097.6299999999999</v>
      </c>
      <c r="L79">
        <v>9.0548739999999999</v>
      </c>
      <c r="M79">
        <v>9.6752906692999989</v>
      </c>
      <c r="N79">
        <v>0.65525299999999997</v>
      </c>
      <c r="O79">
        <v>0.75467711620691202</v>
      </c>
      <c r="P79">
        <v>0.22850799999999999</v>
      </c>
      <c r="Q79">
        <v>0.272911171506452</v>
      </c>
      <c r="X79" s="196"/>
      <c r="Z79" s="184"/>
      <c r="AB79" s="196"/>
    </row>
    <row r="80" spans="1:45" hidden="1" x14ac:dyDescent="0.25">
      <c r="H80" s="14" t="s">
        <v>35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X80" s="196"/>
      <c r="Z80" s="184"/>
      <c r="AB80" s="196"/>
    </row>
    <row r="81" spans="9:31" x14ac:dyDescent="0.25">
      <c r="I81"/>
      <c r="K81"/>
      <c r="X81" s="196"/>
      <c r="Z81" s="184"/>
      <c r="AB81" s="196"/>
    </row>
    <row r="82" spans="9:31" x14ac:dyDescent="0.25">
      <c r="I82"/>
      <c r="K82"/>
      <c r="X82" s="196"/>
      <c r="Z82" s="184"/>
      <c r="AB82" s="196"/>
    </row>
    <row r="83" spans="9:31" x14ac:dyDescent="0.25">
      <c r="I83"/>
      <c r="K83"/>
      <c r="X83" s="196"/>
      <c r="Z83" s="184"/>
      <c r="AB83" s="196"/>
    </row>
    <row r="84" spans="9:31" x14ac:dyDescent="0.25">
      <c r="I84"/>
      <c r="K84"/>
      <c r="V84" s="7"/>
      <c r="X84" s="196"/>
      <c r="Z84" s="184"/>
      <c r="AB84" s="196"/>
    </row>
    <row r="85" spans="9:31" x14ac:dyDescent="0.25">
      <c r="I85"/>
      <c r="K85"/>
      <c r="X85" s="196"/>
      <c r="Z85" s="184"/>
      <c r="AB85" s="196"/>
    </row>
    <row r="86" spans="9:31" x14ac:dyDescent="0.25">
      <c r="I86"/>
      <c r="K86"/>
      <c r="X86" s="196"/>
      <c r="Z86" s="184"/>
      <c r="AB86" s="196"/>
    </row>
    <row r="87" spans="9:31" x14ac:dyDescent="0.25">
      <c r="I87"/>
      <c r="K87"/>
      <c r="X87" s="196"/>
      <c r="Z87" s="184"/>
      <c r="AB87" s="196"/>
    </row>
    <row r="88" spans="9:31" x14ac:dyDescent="0.25">
      <c r="I88"/>
      <c r="K88"/>
      <c r="X88" s="196"/>
      <c r="Z88" s="184"/>
      <c r="AB88" s="196"/>
      <c r="AE88" s="196"/>
    </row>
    <row r="89" spans="9:31" x14ac:dyDescent="0.25">
      <c r="I89"/>
      <c r="K89"/>
      <c r="X89" s="196"/>
      <c r="Z89" s="184"/>
      <c r="AB89" s="196"/>
      <c r="AE89" s="196"/>
    </row>
    <row r="90" spans="9:31" x14ac:dyDescent="0.25">
      <c r="I90"/>
      <c r="K90"/>
      <c r="X90" s="196"/>
      <c r="Z90" s="184"/>
      <c r="AB90" s="196"/>
      <c r="AE90" s="196"/>
    </row>
    <row r="91" spans="9:31" x14ac:dyDescent="0.25">
      <c r="I91"/>
      <c r="K91"/>
      <c r="X91" s="196"/>
      <c r="Z91" s="184"/>
      <c r="AB91" s="196"/>
      <c r="AE91" s="196"/>
    </row>
    <row r="92" spans="9:31" x14ac:dyDescent="0.25">
      <c r="I92"/>
      <c r="K92"/>
      <c r="X92" s="196"/>
      <c r="Z92" s="184"/>
      <c r="AB92" s="196"/>
    </row>
    <row r="93" spans="9:31" x14ac:dyDescent="0.25">
      <c r="I93"/>
      <c r="K93"/>
      <c r="X93" s="196"/>
      <c r="Z93" s="184"/>
      <c r="AB93" s="196"/>
    </row>
    <row r="94" spans="9:31" x14ac:dyDescent="0.25">
      <c r="I94"/>
      <c r="K94"/>
      <c r="X94" s="196"/>
      <c r="Z94" s="184"/>
      <c r="AB94" s="196"/>
    </row>
    <row r="95" spans="9:31" x14ac:dyDescent="0.25">
      <c r="I95"/>
      <c r="K95"/>
      <c r="X95" s="196"/>
      <c r="Z95" s="184"/>
      <c r="AB95" s="196"/>
    </row>
    <row r="96" spans="9:31" x14ac:dyDescent="0.25">
      <c r="I96"/>
      <c r="K96"/>
      <c r="X96" s="196"/>
      <c r="Z96" s="184"/>
      <c r="AB96" s="196"/>
    </row>
    <row r="97" spans="9:28" x14ac:dyDescent="0.25">
      <c r="I97"/>
      <c r="K97"/>
      <c r="X97" s="196"/>
      <c r="Z97" s="184"/>
      <c r="AB97" s="196"/>
    </row>
    <row r="98" spans="9:28" x14ac:dyDescent="0.25">
      <c r="I98"/>
      <c r="K98"/>
      <c r="X98" s="196"/>
      <c r="Z98" s="184"/>
      <c r="AB98" s="196"/>
    </row>
    <row r="99" spans="9:28" x14ac:dyDescent="0.25">
      <c r="I99"/>
      <c r="K99"/>
      <c r="X99" s="196"/>
      <c r="Z99" s="184"/>
      <c r="AB99" s="196"/>
    </row>
    <row r="100" spans="9:28" x14ac:dyDescent="0.25">
      <c r="I100"/>
      <c r="K100"/>
      <c r="X100" s="196"/>
      <c r="Z100" s="184"/>
      <c r="AB100" s="196"/>
    </row>
    <row r="101" spans="9:28" x14ac:dyDescent="0.25">
      <c r="I101"/>
      <c r="K101"/>
      <c r="X101" s="196"/>
      <c r="Z101" s="184"/>
      <c r="AB101" s="196"/>
    </row>
    <row r="102" spans="9:28" x14ac:dyDescent="0.25">
      <c r="I102"/>
      <c r="K102"/>
      <c r="X102" s="196"/>
      <c r="Z102" s="184"/>
      <c r="AB102" s="196"/>
    </row>
    <row r="103" spans="9:28" x14ac:dyDescent="0.25">
      <c r="I103"/>
      <c r="K103"/>
      <c r="X103" s="196"/>
      <c r="Z103" s="184"/>
      <c r="AB103" s="196"/>
    </row>
    <row r="104" spans="9:28" x14ac:dyDescent="0.25">
      <c r="I104"/>
      <c r="K104"/>
      <c r="X104" s="196"/>
      <c r="Z104" s="184"/>
      <c r="AB104" s="196"/>
    </row>
    <row r="105" spans="9:28" x14ac:dyDescent="0.25">
      <c r="I105"/>
      <c r="K105"/>
      <c r="X105" s="196"/>
      <c r="Z105" s="184"/>
      <c r="AB105" s="196"/>
    </row>
    <row r="106" spans="9:28" x14ac:dyDescent="0.25">
      <c r="I106"/>
      <c r="K106"/>
      <c r="X106" s="196"/>
      <c r="Z106" s="184"/>
      <c r="AB106" s="196"/>
    </row>
    <row r="107" spans="9:28" x14ac:dyDescent="0.25">
      <c r="I107"/>
      <c r="K107"/>
      <c r="X107" s="196"/>
      <c r="Z107" s="184"/>
      <c r="AB107" s="196"/>
    </row>
    <row r="108" spans="9:28" x14ac:dyDescent="0.25">
      <c r="I108"/>
      <c r="K108"/>
      <c r="X108" s="196"/>
      <c r="Z108" s="184"/>
      <c r="AB108" s="196"/>
    </row>
    <row r="109" spans="9:28" x14ac:dyDescent="0.25">
      <c r="I109"/>
      <c r="K109"/>
      <c r="X109" s="196"/>
      <c r="Z109" s="184"/>
      <c r="AB109" s="196"/>
    </row>
    <row r="110" spans="9:28" x14ac:dyDescent="0.25">
      <c r="I110"/>
      <c r="K110"/>
      <c r="X110" s="196"/>
      <c r="Z110" s="184"/>
      <c r="AB110" s="196"/>
    </row>
    <row r="111" spans="9:28" x14ac:dyDescent="0.25">
      <c r="I111"/>
      <c r="K111"/>
      <c r="X111" s="196"/>
      <c r="Z111" s="184"/>
      <c r="AB111" s="196"/>
    </row>
    <row r="112" spans="9:28" x14ac:dyDescent="0.25">
      <c r="I112"/>
      <c r="K112"/>
      <c r="X112" s="196"/>
      <c r="Z112" s="184"/>
      <c r="AB112" s="196"/>
    </row>
    <row r="113" spans="9:28" x14ac:dyDescent="0.25">
      <c r="I113"/>
      <c r="K113"/>
      <c r="X113" s="196"/>
      <c r="Z113" s="184"/>
      <c r="AB113" s="196"/>
    </row>
    <row r="114" spans="9:28" x14ac:dyDescent="0.25">
      <c r="I114"/>
      <c r="K114"/>
      <c r="X114" s="196"/>
      <c r="Z114" s="184"/>
      <c r="AB114" s="196"/>
    </row>
    <row r="115" spans="9:28" x14ac:dyDescent="0.25">
      <c r="I115"/>
      <c r="K115"/>
      <c r="X115" s="196"/>
      <c r="Z115" s="184"/>
      <c r="AB115" s="196"/>
    </row>
    <row r="116" spans="9:28" x14ac:dyDescent="0.25">
      <c r="I116"/>
      <c r="K116"/>
      <c r="X116" s="196"/>
      <c r="Z116" s="184"/>
      <c r="AB116" s="196"/>
    </row>
    <row r="117" spans="9:28" x14ac:dyDescent="0.25">
      <c r="I117"/>
      <c r="K117"/>
      <c r="X117" s="196"/>
      <c r="Z117" s="184"/>
      <c r="AB117" s="196"/>
    </row>
    <row r="118" spans="9:28" x14ac:dyDescent="0.25">
      <c r="I118"/>
      <c r="K118"/>
      <c r="X118" s="196"/>
      <c r="Z118" s="184"/>
      <c r="AB118" s="196"/>
    </row>
    <row r="119" spans="9:28" x14ac:dyDescent="0.25">
      <c r="I119"/>
      <c r="K119"/>
      <c r="X119" s="196"/>
      <c r="Z119" s="184"/>
      <c r="AB119" s="196"/>
    </row>
    <row r="120" spans="9:28" x14ac:dyDescent="0.25">
      <c r="I120"/>
      <c r="K120"/>
      <c r="X120" s="196"/>
      <c r="Z120" s="184"/>
      <c r="AB120" s="196"/>
    </row>
    <row r="121" spans="9:28" x14ac:dyDescent="0.25">
      <c r="I121"/>
      <c r="K121"/>
      <c r="X121" s="196"/>
      <c r="Z121" s="184"/>
      <c r="AB121" s="196"/>
    </row>
    <row r="122" spans="9:28" x14ac:dyDescent="0.25">
      <c r="I122"/>
      <c r="K122"/>
      <c r="X122" s="196"/>
      <c r="Z122" s="184"/>
      <c r="AB122" s="196"/>
    </row>
    <row r="123" spans="9:28" x14ac:dyDescent="0.25">
      <c r="I123"/>
      <c r="K123"/>
      <c r="X123" s="196"/>
      <c r="Z123" s="184"/>
      <c r="AB123" s="196"/>
    </row>
    <row r="124" spans="9:28" x14ac:dyDescent="0.25">
      <c r="I124"/>
      <c r="K124"/>
      <c r="X124" s="196"/>
      <c r="Z124" s="184"/>
      <c r="AB124" s="196"/>
    </row>
    <row r="125" spans="9:28" x14ac:dyDescent="0.25">
      <c r="I125"/>
      <c r="K125"/>
      <c r="X125" s="196"/>
      <c r="Z125" s="184"/>
      <c r="AB125" s="196"/>
    </row>
    <row r="126" spans="9:28" x14ac:dyDescent="0.25">
      <c r="I126"/>
      <c r="K126"/>
      <c r="X126" s="196"/>
      <c r="Z126" s="184"/>
      <c r="AB126" s="196"/>
    </row>
    <row r="127" spans="9:28" x14ac:dyDescent="0.25">
      <c r="I127"/>
      <c r="K127"/>
      <c r="X127" s="196"/>
      <c r="Z127" s="184"/>
      <c r="AB127" s="196"/>
    </row>
    <row r="128" spans="9:28" x14ac:dyDescent="0.25">
      <c r="I128"/>
      <c r="K128"/>
      <c r="X128" s="196"/>
      <c r="Z128" s="184"/>
      <c r="AB128" s="196"/>
    </row>
    <row r="129" spans="9:28" x14ac:dyDescent="0.25">
      <c r="I129"/>
      <c r="K129"/>
      <c r="X129" s="196"/>
      <c r="Z129" s="184"/>
      <c r="AB129" s="196"/>
    </row>
    <row r="130" spans="9:28" x14ac:dyDescent="0.25">
      <c r="I130"/>
      <c r="K130"/>
      <c r="X130" s="196"/>
      <c r="Z130" s="184"/>
      <c r="AB130" s="196"/>
    </row>
    <row r="131" spans="9:28" x14ac:dyDescent="0.25">
      <c r="I131"/>
      <c r="K131"/>
      <c r="X131" s="196"/>
      <c r="Z131" s="184"/>
      <c r="AB131" s="196"/>
    </row>
    <row r="132" spans="9:28" x14ac:dyDescent="0.25">
      <c r="I132"/>
      <c r="K132"/>
      <c r="X132" s="196"/>
      <c r="Z132" s="184"/>
      <c r="AB132" s="196"/>
    </row>
    <row r="133" spans="9:28" x14ac:dyDescent="0.25">
      <c r="I133"/>
      <c r="K133"/>
      <c r="X133" s="196"/>
      <c r="Z133" s="184"/>
      <c r="AB133" s="196"/>
    </row>
    <row r="134" spans="9:28" x14ac:dyDescent="0.25">
      <c r="I134"/>
      <c r="K134"/>
      <c r="X134" s="196"/>
      <c r="Z134" s="184"/>
      <c r="AB134" s="196"/>
    </row>
    <row r="135" spans="9:28" x14ac:dyDescent="0.25">
      <c r="I135"/>
      <c r="K135"/>
      <c r="X135" s="196"/>
      <c r="Z135" s="184"/>
      <c r="AB135" s="196"/>
    </row>
    <row r="136" spans="9:28" x14ac:dyDescent="0.25">
      <c r="I136"/>
      <c r="K136"/>
      <c r="X136" s="196"/>
      <c r="Z136" s="184"/>
      <c r="AB136" s="196"/>
    </row>
    <row r="137" spans="9:28" x14ac:dyDescent="0.25">
      <c r="I137"/>
      <c r="K137"/>
      <c r="X137" s="196"/>
      <c r="Z137" s="184"/>
      <c r="AB137" s="196"/>
    </row>
    <row r="138" spans="9:28" x14ac:dyDescent="0.25">
      <c r="I138"/>
      <c r="K138"/>
      <c r="X138" s="196"/>
      <c r="Z138" s="184"/>
      <c r="AB138" s="196"/>
    </row>
    <row r="139" spans="9:28" x14ac:dyDescent="0.25">
      <c r="I139"/>
      <c r="K139"/>
      <c r="X139" s="196"/>
      <c r="Z139" s="184"/>
      <c r="AB139" s="196"/>
    </row>
    <row r="140" spans="9:28" x14ac:dyDescent="0.25">
      <c r="I140"/>
      <c r="K140"/>
      <c r="X140" s="196"/>
      <c r="Z140" s="184"/>
      <c r="AB140" s="196"/>
    </row>
    <row r="141" spans="9:28" x14ac:dyDescent="0.25">
      <c r="I141"/>
      <c r="K141"/>
      <c r="X141" s="196"/>
      <c r="Z141" s="184"/>
      <c r="AB141" s="196"/>
    </row>
    <row r="142" spans="9:28" x14ac:dyDescent="0.25">
      <c r="I142"/>
      <c r="K142"/>
      <c r="T142" s="199"/>
      <c r="X142" s="196"/>
      <c r="Z142" s="184"/>
      <c r="AB142" s="196"/>
    </row>
    <row r="143" spans="9:28" x14ac:dyDescent="0.25">
      <c r="I143"/>
      <c r="K143"/>
      <c r="X143" s="196"/>
      <c r="Z143" s="184"/>
      <c r="AB143" s="196"/>
    </row>
    <row r="144" spans="9:28" x14ac:dyDescent="0.25">
      <c r="I144"/>
      <c r="K144"/>
      <c r="X144" s="196"/>
      <c r="Z144" s="184"/>
      <c r="AB144" s="196"/>
    </row>
    <row r="145" spans="9:28" x14ac:dyDescent="0.25">
      <c r="I145"/>
      <c r="K145"/>
      <c r="X145" s="196"/>
      <c r="Z145" s="184"/>
      <c r="AB145" s="196"/>
    </row>
  </sheetData>
  <mergeCells count="47">
    <mergeCell ref="AM4:AM6"/>
    <mergeCell ref="CD4:CE6"/>
    <mergeCell ref="CF4:CG6"/>
    <mergeCell ref="CB3:CG3"/>
    <mergeCell ref="BZ4:BZ6"/>
    <mergeCell ref="CA4:CA6"/>
    <mergeCell ref="BD5:BD6"/>
    <mergeCell ref="BF5:BH5"/>
    <mergeCell ref="BY4:BY5"/>
    <mergeCell ref="CB4:CC6"/>
    <mergeCell ref="BF4:BM4"/>
    <mergeCell ref="G52:H52"/>
    <mergeCell ref="G14:H14"/>
    <mergeCell ref="G19:G21"/>
    <mergeCell ref="G27:H27"/>
    <mergeCell ref="G31:G33"/>
    <mergeCell ref="G38:G40"/>
    <mergeCell ref="G41:H41"/>
    <mergeCell ref="G42:G46"/>
    <mergeCell ref="B5:B6"/>
    <mergeCell ref="E5:E6"/>
    <mergeCell ref="G5:G6"/>
    <mergeCell ref="H5:H6"/>
    <mergeCell ref="BC5:BC6"/>
    <mergeCell ref="AO4:AO6"/>
    <mergeCell ref="AP4:AP6"/>
    <mergeCell ref="AQ4:AQ6"/>
    <mergeCell ref="AS4:AS6"/>
    <mergeCell ref="AG4:AH5"/>
    <mergeCell ref="AJ4:AJ6"/>
    <mergeCell ref="AK4:AK6"/>
    <mergeCell ref="AL4:AL6"/>
    <mergeCell ref="AC4:AD5"/>
    <mergeCell ref="AN4:AN6"/>
    <mergeCell ref="AE4:AF5"/>
    <mergeCell ref="I3:T3"/>
    <mergeCell ref="U3:AF3"/>
    <mergeCell ref="I4:J5"/>
    <mergeCell ref="K4:L5"/>
    <mergeCell ref="M4:N5"/>
    <mergeCell ref="O4:P5"/>
    <mergeCell ref="Q4:R5"/>
    <mergeCell ref="S4:T5"/>
    <mergeCell ref="U4:V5"/>
    <mergeCell ref="W4:X5"/>
    <mergeCell ref="Y4:Z5"/>
    <mergeCell ref="AA4:AB5"/>
  </mergeCells>
  <pageMargins left="0.7" right="0.95" top="0.75" bottom="0.75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madhushikap</dc:creator>
  <cp:lastModifiedBy>Prabath Charana</cp:lastModifiedBy>
  <cp:lastPrinted>2026-06-05T13:43:47Z</cp:lastPrinted>
  <dcterms:created xsi:type="dcterms:W3CDTF">2026-02-16T06:10:12Z</dcterms:created>
  <dcterms:modified xsi:type="dcterms:W3CDTF">2026-06-11T12:51:14Z</dcterms:modified>
</cp:coreProperties>
</file>